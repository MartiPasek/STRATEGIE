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zdil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<sst xmlns="http://schemas.openxmlformats.org/spreadsheetml/2006/main" count="86" uniqueCount="44">
  <si>
    <t xml:space="preserve">Mzdové složky – rozdíly mezi smlouvou ve STRATEGII a mzdovými kartami</t>
  </si>
  <si>
    <t xml:space="preserve">Stav k 31. 7. 2026 · porovnáno na 76 lidech, kteří mají mzdovou kartu · částky v Kč</t>
  </si>
  <si>
    <t xml:space="preserve">Složka</t>
  </si>
  <si>
    <t xml:space="preserve">Jméno</t>
  </si>
  <si>
    <t xml:space="preserve">Firma</t>
  </si>
  <si>
    <t xml:space="preserve">Ve smlouvě (STRATEGIE)</t>
  </si>
  <si>
    <t xml:space="preserve">V mzdových kartách</t>
  </si>
  <si>
    <t xml:space="preserve">Rozdíl</t>
  </si>
  <si>
    <t xml:space="preserve">Základní mzda</t>
  </si>
  <si>
    <t xml:space="preserve">Michal Šik</t>
  </si>
  <si>
    <t xml:space="preserve">ES</t>
  </si>
  <si>
    <t xml:space="preserve">Jan Svoboda</t>
  </si>
  <si>
    <t xml:space="preserve">Karel Böhm (č. 9035)</t>
  </si>
  <si>
    <t xml:space="preserve">Osobní ohodnocení</t>
  </si>
  <si>
    <t xml:space="preserve">Tereza Veverková</t>
  </si>
  <si>
    <t xml:space="preserve">Petra Dvořáková</t>
  </si>
  <si>
    <t xml:space="preserve">Andrea Bernardová</t>
  </si>
  <si>
    <t xml:space="preserve">EC</t>
  </si>
  <si>
    <t xml:space="preserve">Šárka Novotná</t>
  </si>
  <si>
    <t xml:space="preserve">Ivana Brudnová</t>
  </si>
  <si>
    <t xml:space="preserve">Prémie</t>
  </si>
  <si>
    <t xml:space="preserve">Dušan Havlát</t>
  </si>
  <si>
    <t xml:space="preserve">Jiří Veverka</t>
  </si>
  <si>
    <t xml:space="preserve">Martin Pašek</t>
  </si>
  <si>
    <t xml:space="preserve">Petr Čiviš</t>
  </si>
  <si>
    <t xml:space="preserve">Zdeněk Diviš</t>
  </si>
  <si>
    <t xml:space="preserve">Luboš Erhard</t>
  </si>
  <si>
    <t xml:space="preserve">Marek Honal</t>
  </si>
  <si>
    <t xml:space="preserve">Pavel Kilberger</t>
  </si>
  <si>
    <t xml:space="preserve">Luboš Lev</t>
  </si>
  <si>
    <t xml:space="preserve">Vasyl Namjak</t>
  </si>
  <si>
    <t xml:space="preserve">Matěj Svoboda</t>
  </si>
  <si>
    <t xml:space="preserve">Luboš Trunec</t>
  </si>
  <si>
    <t xml:space="preserve">Simona Urbanová</t>
  </si>
  <si>
    <t xml:space="preserve">Pavel Voříšek</t>
  </si>
  <si>
    <t xml:space="preserve">Celkem</t>
  </si>
  <si>
    <t xml:space="preserve">Poznámky</t>
  </si>
  <si>
    <t xml:space="preserve">• Ve smlouvě je u všech uvedených víc než v mzdových kartách, nikde ne naopak.</t>
  </si>
  <si>
    <t xml:space="preserve">• Jednatelská odměna, vedení lidí a individuální složka sedí u všech lidí – v přehledu proto nejsou.</t>
  </si>
  <si>
    <t xml:space="preserve">• Hodinové sazby přesčasu ve smlouvě nejsou vůbec; dopočítává je Helios a zůstávají odtud.</t>
  </si>
  <si>
    <t xml:space="preserve">• Základní mzda: rozdíly jsou pouze u tří OSVČ. U zbylých 73 lidí sedí přesně.</t>
  </si>
  <si>
    <t xml:space="preserve">• Základní mzda byla navíc ověřena proti výplatnici za červen 2026 – všech 47 lidí sedí se smlouvou.</t>
  </si>
  <si>
    <t xml:space="preserve">• Prémie: v mzdových kartách je nemá nikdo; do mezd se z tohoto místa dnes nedostávají.</t>
  </si>
  <si>
    <t xml:space="preserve">• Zdroj: tenant.wage_component (verze smlouvy platná k 31. 7. 2026) × tenant.helios_wage_snapshot (snímek z 5. 8. 2026).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</si>
</sst>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066CC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5" t="n">
        <v>44000</v>
      </c>
      <c r="E5" s="5" t="n">
        <v>33000</v>
      </c>
      <c r="F5" s="5" t="n">
        <f aca="false">D5-E5</f>
        <v>11000</v>
      </c>
    </row>
    <row r="6" customFormat="false" ht="15" hidden="false" customHeight="false" outlineLevel="0" collapsed="false">
      <c r="A6" s="6" t="s">
        <v>8</v>
      </c>
      <c r="B6" s="6" t="s">
        <v>11</v>
      </c>
      <c r="C6" s="6" t="s">
        <v>10</v>
      </c>
      <c r="D6" s="7" t="n">
        <v>95000</v>
      </c>
      <c r="E6" s="7" t="n">
        <v>89000</v>
      </c>
      <c r="F6" s="7" t="n">
        <f aca="false">D6-E6</f>
        <v>6000</v>
      </c>
    </row>
    <row r="7" customFormat="false" ht="15" hidden="false" customHeight="false" outlineLevel="0" collapsed="false">
      <c r="A7" s="4" t="s">
        <v>8</v>
      </c>
      <c r="B7" s="4" t="s">
        <v>12</v>
      </c>
      <c r="C7" s="4" t="s">
        <v>10</v>
      </c>
      <c r="D7" s="5" t="n">
        <v>108010</v>
      </c>
      <c r="E7" s="5" t="n">
        <v>107684</v>
      </c>
      <c r="F7" s="5" t="n">
        <f aca="false">D7-E7</f>
        <v>326</v>
      </c>
    </row>
    <row r="8" customFormat="false" ht="15" hidden="false" customHeight="false" outlineLevel="0" collapsed="false">
      <c r="A8" s="6" t="s">
        <v>13</v>
      </c>
      <c r="B8" s="6" t="s">
        <v>14</v>
      </c>
      <c r="C8" s="6" t="s">
        <v>10</v>
      </c>
      <c r="D8" s="7" t="n">
        <v>25700</v>
      </c>
      <c r="E8" s="7" t="n">
        <v>5550</v>
      </c>
      <c r="F8" s="7" t="n">
        <f aca="false">D8-E8</f>
        <v>20150</v>
      </c>
    </row>
    <row r="9" customFormat="false" ht="15" hidden="false" customHeight="false" outlineLevel="0" collapsed="false">
      <c r="A9" s="4" t="s">
        <v>13</v>
      </c>
      <c r="B9" s="4" t="s">
        <v>15</v>
      </c>
      <c r="C9" s="4" t="s">
        <v>10</v>
      </c>
      <c r="D9" s="5" t="n">
        <v>16300</v>
      </c>
      <c r="E9" s="5" t="n">
        <v>5550</v>
      </c>
      <c r="F9" s="5" t="n">
        <f aca="false">D9-E9</f>
        <v>10750</v>
      </c>
    </row>
    <row r="10" customFormat="false" ht="15" hidden="false" customHeight="false" outlineLevel="0" collapsed="false">
      <c r="A10" s="6" t="s">
        <v>13</v>
      </c>
      <c r="B10" s="6" t="s">
        <v>16</v>
      </c>
      <c r="C10" s="6" t="s">
        <v>17</v>
      </c>
      <c r="D10" s="7" t="n">
        <v>10681</v>
      </c>
      <c r="E10" s="7" t="n">
        <v>4047</v>
      </c>
      <c r="F10" s="7" t="n">
        <f aca="false">D10-E10</f>
        <v>6634</v>
      </c>
    </row>
    <row r="11" customFormat="false" ht="15" hidden="false" customHeight="false" outlineLevel="0" collapsed="false">
      <c r="A11" s="4" t="s">
        <v>13</v>
      </c>
      <c r="B11" s="4" t="s">
        <v>18</v>
      </c>
      <c r="C11" s="4" t="s">
        <v>10</v>
      </c>
      <c r="D11" s="5" t="n">
        <v>12000</v>
      </c>
      <c r="E11" s="5" t="n">
        <v>6062</v>
      </c>
      <c r="F11" s="5" t="n">
        <f aca="false">D11-E11</f>
        <v>5938</v>
      </c>
    </row>
    <row r="12" customFormat="false" ht="15" hidden="false" customHeight="false" outlineLevel="0" collapsed="false">
      <c r="A12" s="6" t="s">
        <v>13</v>
      </c>
      <c r="B12" s="6" t="s">
        <v>19</v>
      </c>
      <c r="C12" s="6" t="s">
        <v>10</v>
      </c>
      <c r="D12" s="7" t="n">
        <v>11500</v>
      </c>
      <c r="E12" s="7" t="n">
        <v>7162</v>
      </c>
      <c r="F12" s="7" t="n">
        <f aca="false">D12-E12</f>
        <v>4338</v>
      </c>
    </row>
    <row r="13" customFormat="false" ht="15" hidden="false" customHeight="false" outlineLevel="0" collapsed="false">
      <c r="A13" s="4" t="s">
        <v>20</v>
      </c>
      <c r="B13" s="4" t="s">
        <v>11</v>
      </c>
      <c r="C13" s="4" t="s">
        <v>10</v>
      </c>
      <c r="D13" s="5" t="n">
        <v>11000</v>
      </c>
      <c r="E13" s="5" t="n">
        <v>0</v>
      </c>
      <c r="F13" s="5" t="n">
        <f aca="false">D13-E13</f>
        <v>11000</v>
      </c>
    </row>
    <row r="14" customFormat="false" ht="15" hidden="false" customHeight="false" outlineLevel="0" collapsed="false">
      <c r="A14" s="6" t="s">
        <v>20</v>
      </c>
      <c r="B14" s="6" t="s">
        <v>21</v>
      </c>
      <c r="C14" s="6" t="s">
        <v>10</v>
      </c>
      <c r="D14" s="7" t="n">
        <v>10000</v>
      </c>
      <c r="E14" s="7" t="n">
        <v>0</v>
      </c>
      <c r="F14" s="7" t="n">
        <f aca="false">D14-E14</f>
        <v>10000</v>
      </c>
    </row>
    <row r="15" customFormat="false" ht="15" hidden="false" customHeight="false" outlineLevel="0" collapsed="false">
      <c r="A15" s="4" t="s">
        <v>20</v>
      </c>
      <c r="B15" s="4" t="s">
        <v>22</v>
      </c>
      <c r="C15" s="4" t="s">
        <v>17</v>
      </c>
      <c r="D15" s="5" t="n">
        <v>8000</v>
      </c>
      <c r="E15" s="5" t="n">
        <v>0</v>
      </c>
      <c r="F15" s="5" t="n">
        <f aca="false">D15-E15</f>
        <v>8000</v>
      </c>
    </row>
    <row r="16" customFormat="false" ht="15" hidden="false" customHeight="false" outlineLevel="0" collapsed="false">
      <c r="A16" s="6" t="s">
        <v>20</v>
      </c>
      <c r="B16" s="6" t="s">
        <v>23</v>
      </c>
      <c r="C16" s="6" t="s">
        <v>10</v>
      </c>
      <c r="D16" s="7" t="n">
        <v>5000</v>
      </c>
      <c r="E16" s="7" t="n">
        <v>0</v>
      </c>
      <c r="F16" s="7" t="n">
        <f aca="false">D16-E16</f>
        <v>5000</v>
      </c>
    </row>
    <row r="17" customFormat="false" ht="15" hidden="false" customHeight="false" outlineLevel="0" collapsed="false">
      <c r="A17" s="4" t="s">
        <v>20</v>
      </c>
      <c r="B17" s="4" t="s">
        <v>24</v>
      </c>
      <c r="C17" s="4" t="s">
        <v>10</v>
      </c>
      <c r="D17" s="5" t="n">
        <v>1000</v>
      </c>
      <c r="E17" s="5" t="n">
        <v>0</v>
      </c>
      <c r="F17" s="5" t="n">
        <f aca="false">D17-E17</f>
        <v>1000</v>
      </c>
    </row>
    <row r="18" customFormat="false" ht="15" hidden="false" customHeight="false" outlineLevel="0" collapsed="false">
      <c r="A18" s="6" t="s">
        <v>20</v>
      </c>
      <c r="B18" s="6" t="s">
        <v>25</v>
      </c>
      <c r="C18" s="6" t="s">
        <v>10</v>
      </c>
      <c r="D18" s="7" t="n">
        <v>1000</v>
      </c>
      <c r="E18" s="7" t="n">
        <v>0</v>
      </c>
      <c r="F18" s="7" t="n">
        <f aca="false">D18-E18</f>
        <v>1000</v>
      </c>
    </row>
    <row r="19" customFormat="false" ht="15" hidden="false" customHeight="false" outlineLevel="0" collapsed="false">
      <c r="A19" s="4" t="s">
        <v>20</v>
      </c>
      <c r="B19" s="4" t="s">
        <v>26</v>
      </c>
      <c r="C19" s="4" t="s">
        <v>17</v>
      </c>
      <c r="D19" s="5" t="n">
        <v>1000</v>
      </c>
      <c r="E19" s="5" t="n">
        <v>0</v>
      </c>
      <c r="F19" s="5" t="n">
        <f aca="false">D19-E19</f>
        <v>1000</v>
      </c>
    </row>
    <row r="20" customFormat="false" ht="15" hidden="false" customHeight="false" outlineLevel="0" collapsed="false">
      <c r="A20" s="6" t="s">
        <v>20</v>
      </c>
      <c r="B20" s="6" t="s">
        <v>27</v>
      </c>
      <c r="C20" s="6" t="s">
        <v>10</v>
      </c>
      <c r="D20" s="7" t="n">
        <v>1000</v>
      </c>
      <c r="E20" s="7" t="n">
        <v>0</v>
      </c>
      <c r="F20" s="7" t="n">
        <f aca="false">D20-E20</f>
        <v>1000</v>
      </c>
    </row>
    <row r="21" customFormat="false" ht="15" hidden="false" customHeight="false" outlineLevel="0" collapsed="false">
      <c r="A21" s="4" t="s">
        <v>20</v>
      </c>
      <c r="B21" s="4" t="s">
        <v>28</v>
      </c>
      <c r="C21" s="4" t="s">
        <v>10</v>
      </c>
      <c r="D21" s="5" t="n">
        <v>1000</v>
      </c>
      <c r="E21" s="5" t="n">
        <v>0</v>
      </c>
      <c r="F21" s="5" t="n">
        <f aca="false">D21-E21</f>
        <v>1000</v>
      </c>
    </row>
    <row r="22" customFormat="false" ht="15" hidden="false" customHeight="false" outlineLevel="0" collapsed="false">
      <c r="A22" s="6" t="s">
        <v>20</v>
      </c>
      <c r="B22" s="6" t="s">
        <v>29</v>
      </c>
      <c r="C22" s="6" t="s">
        <v>17</v>
      </c>
      <c r="D22" s="7" t="n">
        <v>1000</v>
      </c>
      <c r="E22" s="7" t="n">
        <v>0</v>
      </c>
      <c r="F22" s="7" t="n">
        <f aca="false">D22-E22</f>
        <v>1000</v>
      </c>
    </row>
    <row r="23" customFormat="false" ht="15" hidden="false" customHeight="false" outlineLevel="0" collapsed="false">
      <c r="A23" s="4" t="s">
        <v>20</v>
      </c>
      <c r="B23" s="4" t="s">
        <v>30</v>
      </c>
      <c r="C23" s="4" t="s">
        <v>10</v>
      </c>
      <c r="D23" s="5" t="n">
        <v>1000</v>
      </c>
      <c r="E23" s="5" t="n">
        <v>0</v>
      </c>
      <c r="F23" s="5" t="n">
        <f aca="false">D23-E23</f>
        <v>1000</v>
      </c>
    </row>
    <row r="24" customFormat="false" ht="15" hidden="false" customHeight="false" outlineLevel="0" collapsed="false">
      <c r="A24" s="6" t="s">
        <v>20</v>
      </c>
      <c r="B24" s="6" t="s">
        <v>31</v>
      </c>
      <c r="C24" s="6" t="s">
        <v>10</v>
      </c>
      <c r="D24" s="7" t="n">
        <v>1000</v>
      </c>
      <c r="E24" s="7" t="n">
        <v>0</v>
      </c>
      <c r="F24" s="7" t="n">
        <f aca="false">D24-E24</f>
        <v>1000</v>
      </c>
    </row>
    <row r="25" customFormat="false" ht="15" hidden="false" customHeight="false" outlineLevel="0" collapsed="false">
      <c r="A25" s="4" t="s">
        <v>20</v>
      </c>
      <c r="B25" s="4" t="s">
        <v>32</v>
      </c>
      <c r="C25" s="4" t="s">
        <v>17</v>
      </c>
      <c r="D25" s="5" t="n">
        <v>1000</v>
      </c>
      <c r="E25" s="5" t="n">
        <v>0</v>
      </c>
      <c r="F25" s="5" t="n">
        <f aca="false">D25-E25</f>
        <v>1000</v>
      </c>
    </row>
    <row r="26" customFormat="false" ht="15" hidden="false" customHeight="false" outlineLevel="0" collapsed="false">
      <c r="A26" s="6" t="s">
        <v>20</v>
      </c>
      <c r="B26" s="6" t="s">
        <v>33</v>
      </c>
      <c r="C26" s="6" t="s">
        <v>10</v>
      </c>
      <c r="D26" s="7" t="n">
        <v>1000</v>
      </c>
      <c r="E26" s="7" t="n">
        <v>0</v>
      </c>
      <c r="F26" s="7" t="n">
        <f aca="false">D26-E26</f>
        <v>1000</v>
      </c>
    </row>
    <row r="27" customFormat="false" ht="15" hidden="false" customHeight="false" outlineLevel="0" collapsed="false">
      <c r="A27" s="4" t="s">
        <v>20</v>
      </c>
      <c r="B27" s="4" t="s">
        <v>34</v>
      </c>
      <c r="C27" s="4" t="s">
        <v>10</v>
      </c>
      <c r="D27" s="5" t="n">
        <v>1000</v>
      </c>
      <c r="E27" s="5" t="n">
        <v>0</v>
      </c>
      <c r="F27" s="5" t="n">
        <f aca="false">D27-E27</f>
        <v>1000</v>
      </c>
    </row>
    <row r="28" customFormat="false" ht="15" hidden="false" customHeight="false" outlineLevel="0" collapsed="false">
      <c r="A28" s="8"/>
      <c r="B28" s="8" t="s">
        <v>35</v>
      </c>
      <c r="C28" s="8"/>
      <c r="D28" s="9" t="n">
        <f aca="false">SUM(D5:D27)</f>
        <v>368191</v>
      </c>
      <c r="E28" s="9" t="n">
        <f aca="false">SUM(E5:E27)</f>
        <v>258055</v>
      </c>
      <c r="F28" s="9" t="n">
        <f aca="false">SUM(F5:F27)</f>
        <v>110136</v>
      </c>
    </row>
    <row r="30" customFormat="false" ht="15" hidden="false" customHeight="false" outlineLevel="0" collapsed="false">
      <c r="A30" s="10" t="s">
        <v>36</v>
      </c>
    </row>
    <row r="31" customFormat="false" ht="15" hidden="false" customHeight="false" outlineLevel="0" collapsed="false">
      <c r="A31" s="11" t="s">
        <v>37</v>
      </c>
    </row>
    <row r="32" customFormat="false" ht="15" hidden="false" customHeight="false" outlineLevel="0" collapsed="false">
      <c r="A32" s="11" t="s">
        <v>38</v>
      </c>
    </row>
    <row r="33" customFormat="false" ht="15" hidden="false" customHeight="false" outlineLevel="0" collapsed="false">
      <c r="A33" s="11" t="s">
        <v>39</v>
      </c>
    </row>
    <row r="34" customFormat="false" ht="15" hidden="false" customHeight="false" outlineLevel="0" collapsed="false">
      <c r="A34" s="11" t="s">
        <v>40</v>
      </c>
    </row>
    <row r="35" customFormat="false" ht="15" hidden="false" customHeight="false" outlineLevel="0" collapsed="false">
      <c r="A35" s="11" t="s">
        <v>41</v>
      </c>
    </row>
    <row r="36" customFormat="false" ht="15" hidden="false" customHeight="false" outlineLevel="0" collapsed="false">
      <c r="A36" s="11" t="s">
        <v>42</v>
      </c>
    </row>
    <row r="37" customFormat="false" ht="15" hidden="false" customHeight="false" outlineLevel="0" collapsed="false">
      <c r="A37" s="1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2026-08-21T10:11:54Z</dcterms:created>
  <dc:creator>openpyxl</dc:creator>
  <dc:description/>
  <dc:language>en-US</dc:language>
  <cp:lastModifiedBy/>
  <dcterms:modified xsi:type="dcterms:W3CDTF">2026-08-21T10:11:54Z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