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zdy 5-2026 dvouradky" sheetId="1" state="visible" r:id="rId1"/>
    <sheet xmlns:r="http://schemas.openxmlformats.org/officeDocument/2006/relationships" name="Jak čí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i val="1"/>
      <sz val="8"/>
    </font>
    <font>
      <b val="1"/>
    </font>
    <font>
      <color rgb="00C00000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pivotButton="0" quotePrefix="0" xfId="0"/>
    <xf numFmtId="3" fontId="0" fillId="0" borderId="1" applyAlignment="1" pivotButton="0" quotePrefix="0" xfId="0">
      <alignment horizontal="right"/>
    </xf>
    <xf numFmtId="0" fontId="3" fillId="0" borderId="1" applyAlignment="1" pivotButton="0" quotePrefix="0" xfId="0">
      <alignment wrapText="1"/>
    </xf>
    <xf numFmtId="0" fontId="0" fillId="0" borderId="3" pivotButton="0" quotePrefix="0" xfId="0"/>
    <xf numFmtId="0" fontId="0" fillId="0" borderId="4" pivotButton="0" quotePrefix="0" xfId="0"/>
    <xf numFmtId="0" fontId="4" fillId="4" borderId="1" pivotButton="0" quotePrefix="0" xfId="0"/>
    <xf numFmtId="3" fontId="4" fillId="4" borderId="1" applyAlignment="1" pivotButton="0" quotePrefix="0" xfId="0">
      <alignment horizontal="right"/>
    </xf>
    <xf numFmtId="3" fontId="4" fillId="5" borderId="1" applyAlignment="1" pivotButton="0" quotePrefix="0" xfId="0">
      <alignment horizontal="right"/>
    </xf>
    <xf numFmtId="3" fontId="5" fillId="0" borderId="1" applyAlignment="1" pivotButton="0" quotePrefix="0" xfId="0">
      <alignment horizontal="right"/>
    </xf>
    <xf numFmtId="3" fontId="0" fillId="6" borderId="1" applyAlignment="1" pivotButton="0" quotePrefix="0" xfId="0">
      <alignment horizontal="right"/>
    </xf>
    <xf numFmtId="3" fontId="4" fillId="6" borderId="1" applyAlignment="1" pivotButton="0" quotePrefix="0" xfId="0">
      <alignment horizontal="right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20" customWidth="1" min="3" max="3"/>
    <col width="17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22" customWidth="1" min="10" max="10"/>
  </cols>
  <sheetData>
    <row r="1" ht="42" customHeight="1">
      <c r="A1" s="1" t="inlineStr">
        <is>
          <t>Firma</t>
        </is>
      </c>
      <c r="B1" s="1" t="inlineStr">
        <is>
          <t>Os.č.</t>
        </is>
      </c>
      <c r="C1" s="1" t="inlineStr">
        <is>
          <t>Jméno</t>
        </is>
      </c>
      <c r="D1" s="1" t="inlineStr">
        <is>
          <t>Složka</t>
        </is>
      </c>
      <c r="E1" s="1" t="inlineStr">
        <is>
          <t>Dle výměru</t>
        </is>
      </c>
      <c r="F1" s="1" t="inlineStr">
        <is>
          <t>Poměrná úprava
(odprac./fond)</t>
        </is>
      </c>
      <c r="G1" s="1">
        <f> Za odprac.
dobu</f>
        <v/>
      </c>
      <c r="H1" s="1" t="inlineStr">
        <is>
          <t>Helios
skutečnost</t>
        </is>
      </c>
      <c r="I1" s="1" t="inlineStr">
        <is>
          <t>Δ</t>
        </is>
      </c>
      <c r="J1" s="1" t="inlineStr">
        <is>
          <t>Pozn.</t>
        </is>
      </c>
    </row>
    <row r="2">
      <c r="A2" s="2" t="inlineStr">
        <is>
          <t>EC</t>
        </is>
      </c>
      <c r="B2" s="2" t="inlineStr">
        <is>
          <t>2</t>
        </is>
      </c>
      <c r="C2" s="3" t="inlineStr">
        <is>
          <t>Marti Pašek</t>
        </is>
      </c>
      <c r="D2" s="4" t="inlineStr">
        <is>
          <t>Základní mzda</t>
        </is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6" t="inlineStr">
        <is>
          <t>bez hodin (variabilní)</t>
        </is>
      </c>
    </row>
    <row r="3">
      <c r="A3" s="7" t="n"/>
      <c r="B3" s="7" t="n"/>
      <c r="C3" s="7" t="n"/>
      <c r="D3" s="4" t="inlineStr">
        <is>
          <t>Osobní ohodnocení</t>
        </is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6" t="inlineStr"/>
    </row>
    <row r="4">
      <c r="A4" s="7" t="n"/>
      <c r="B4" s="7" t="n"/>
      <c r="C4" s="7" t="n"/>
      <c r="D4" s="4" t="inlineStr">
        <is>
          <t>Prémie</t>
        </is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6" t="inlineStr">
        <is>
          <t>přesčas řešen v prémii</t>
        </is>
      </c>
    </row>
    <row r="5">
      <c r="A5" s="7" t="n"/>
      <c r="B5" s="7" t="n"/>
      <c r="C5" s="7" t="n"/>
      <c r="D5" s="4" t="inlineStr">
        <is>
          <t>Odměna jednatele</t>
        </is>
      </c>
      <c r="E5" s="5" t="n">
        <v>90800</v>
      </c>
      <c r="F5" s="5" t="n">
        <v>0</v>
      </c>
      <c r="G5" s="5" t="n">
        <v>90800</v>
      </c>
      <c r="H5" s="5" t="n">
        <v>90800</v>
      </c>
      <c r="I5" s="5" t="n">
        <v>0</v>
      </c>
      <c r="J5" s="6" t="inlineStr">
        <is>
          <t>doplněno</t>
        </is>
      </c>
    </row>
    <row r="6">
      <c r="A6" s="8" t="n"/>
      <c r="B6" s="8" t="n"/>
      <c r="C6" s="8" t="n"/>
      <c r="D6" s="9" t="inlineStr">
        <is>
          <t>CELKEM</t>
        </is>
      </c>
      <c r="E6" s="10" t="n">
        <v>90800</v>
      </c>
      <c r="F6" s="10" t="n">
        <v>0</v>
      </c>
      <c r="G6" s="10" t="n">
        <v>90800</v>
      </c>
      <c r="H6" s="10" t="n">
        <v>90800</v>
      </c>
      <c r="I6" s="11" t="n">
        <v>0</v>
      </c>
      <c r="J6" s="9" t="inlineStr"/>
    </row>
    <row r="7">
      <c r="A7" s="2" t="inlineStr">
        <is>
          <t>EC</t>
        </is>
      </c>
      <c r="B7" s="2" t="inlineStr">
        <is>
          <t>14</t>
        </is>
      </c>
      <c r="C7" s="3" t="inlineStr">
        <is>
          <t>Jiří Veverka</t>
        </is>
      </c>
      <c r="D7" s="4" t="inlineStr">
        <is>
          <t>Základní mzda</t>
        </is>
      </c>
      <c r="E7" s="5" t="n">
        <v>61500</v>
      </c>
      <c r="F7" s="12" t="n">
        <v>-2121</v>
      </c>
      <c r="G7" s="5" t="n">
        <v>59379</v>
      </c>
      <c r="H7" s="5" t="n">
        <v>61500</v>
      </c>
      <c r="I7" s="13" t="n">
        <v>-2121</v>
      </c>
      <c r="J7" s="6" t="inlineStr">
        <is>
          <t>odprac. 168/174.0h</t>
        </is>
      </c>
    </row>
    <row r="8">
      <c r="A8" s="7" t="n"/>
      <c r="B8" s="7" t="n"/>
      <c r="C8" s="7" t="n"/>
      <c r="D8" s="4" t="inlineStr">
        <is>
          <t>Osobní ohodnocení</t>
        </is>
      </c>
      <c r="E8" s="5" t="n">
        <v>3147</v>
      </c>
      <c r="F8" s="12" t="n">
        <v>-109</v>
      </c>
      <c r="G8" s="5" t="n">
        <v>3038</v>
      </c>
      <c r="H8" s="5" t="n">
        <v>11147</v>
      </c>
      <c r="I8" s="13" t="n">
        <v>-8109</v>
      </c>
      <c r="J8" s="6" t="inlineStr"/>
    </row>
    <row r="9">
      <c r="A9" s="7" t="n"/>
      <c r="B9" s="7" t="n"/>
      <c r="C9" s="7" t="n"/>
      <c r="D9" s="4" t="inlineStr">
        <is>
          <t>Prémie</t>
        </is>
      </c>
      <c r="E9" s="5" t="n">
        <v>20463</v>
      </c>
      <c r="F9" s="5" t="n">
        <v>0</v>
      </c>
      <c r="G9" s="5" t="n">
        <v>20463</v>
      </c>
      <c r="H9" s="5" t="n">
        <v>4463</v>
      </c>
      <c r="I9" s="13" t="n">
        <v>16000</v>
      </c>
      <c r="J9" s="6" t="inlineStr">
        <is>
          <t>přesčas řešen v prémii</t>
        </is>
      </c>
    </row>
    <row r="10">
      <c r="A10" s="7" t="n"/>
      <c r="B10" s="7" t="n"/>
      <c r="C10" s="7" t="n"/>
      <c r="D10" s="4" t="inlineStr">
        <is>
          <t>Oblečení</t>
        </is>
      </c>
      <c r="E10" s="5" t="n">
        <v>2289</v>
      </c>
      <c r="F10" s="5" t="n">
        <v>0</v>
      </c>
      <c r="G10" s="5" t="n">
        <v>2289</v>
      </c>
      <c r="H10" s="5" t="n">
        <v>0</v>
      </c>
      <c r="I10" s="13" t="n">
        <v>2289</v>
      </c>
      <c r="J10" s="6" t="inlineStr">
        <is>
          <t>pohyb (nekrátí se)</t>
        </is>
      </c>
    </row>
    <row r="11">
      <c r="A11" s="7" t="n"/>
      <c r="B11" s="7" t="n"/>
      <c r="C11" s="7" t="n"/>
      <c r="D11" s="4" t="inlineStr">
        <is>
          <t>Home office</t>
        </is>
      </c>
      <c r="E11" s="5" t="n">
        <v>2064</v>
      </c>
      <c r="F11" s="5" t="n">
        <v>0</v>
      </c>
      <c r="G11" s="5" t="n">
        <v>2064</v>
      </c>
      <c r="H11" s="5" t="n">
        <v>0</v>
      </c>
      <c r="I11" s="13" t="n">
        <v>2064</v>
      </c>
      <c r="J11" s="6" t="inlineStr">
        <is>
          <t>pohyb (nekrátí se)</t>
        </is>
      </c>
    </row>
    <row r="12">
      <c r="A12" s="8" t="n"/>
      <c r="B12" s="8" t="n"/>
      <c r="C12" s="8" t="n"/>
      <c r="D12" s="9" t="inlineStr">
        <is>
          <t>CELKEM</t>
        </is>
      </c>
      <c r="E12" s="10" t="n">
        <v>89463</v>
      </c>
      <c r="F12" s="10" t="n">
        <v>-2230</v>
      </c>
      <c r="G12" s="10" t="n">
        <v>87233</v>
      </c>
      <c r="H12" s="10" t="n">
        <v>77110</v>
      </c>
      <c r="I12" s="14" t="n">
        <v>10123</v>
      </c>
      <c r="J12" s="9" t="inlineStr"/>
    </row>
    <row r="13">
      <c r="A13" s="2" t="inlineStr">
        <is>
          <t>EC</t>
        </is>
      </c>
      <c r="B13" s="2" t="inlineStr">
        <is>
          <t>24</t>
        </is>
      </c>
      <c r="C13" s="3" t="inlineStr">
        <is>
          <t>Eliška Kolářová</t>
        </is>
      </c>
      <c r="D13" s="4" t="inlineStr">
        <is>
          <t>Základní mzda</t>
        </is>
      </c>
      <c r="E13" s="5" t="n">
        <v>39200</v>
      </c>
      <c r="F13" s="12" t="n">
        <v>-6759</v>
      </c>
      <c r="G13" s="5" t="n">
        <v>32441</v>
      </c>
      <c r="H13" s="5" t="n">
        <v>33600</v>
      </c>
      <c r="I13" s="13" t="n">
        <v>-1159</v>
      </c>
      <c r="J13" s="6" t="inlineStr">
        <is>
          <t>odprac. 144/174.0h, +24h náhr.</t>
        </is>
      </c>
    </row>
    <row r="14">
      <c r="A14" s="7" t="n"/>
      <c r="B14" s="7" t="n"/>
      <c r="C14" s="7" t="n"/>
      <c r="D14" s="4" t="inlineStr">
        <is>
          <t>Osobní ohodnocení</t>
        </is>
      </c>
      <c r="E14" s="5" t="n">
        <v>3154</v>
      </c>
      <c r="F14" s="12" t="n">
        <v>-544</v>
      </c>
      <c r="G14" s="5" t="n">
        <v>2610</v>
      </c>
      <c r="H14" s="5" t="n">
        <v>2703</v>
      </c>
      <c r="I14" s="13" t="n">
        <v>-93</v>
      </c>
      <c r="J14" s="6" t="inlineStr"/>
    </row>
    <row r="15">
      <c r="A15" s="7" t="n"/>
      <c r="B15" s="7" t="n"/>
      <c r="C15" s="7" t="n"/>
      <c r="D15" s="4" t="inlineStr">
        <is>
          <t>Prémie</t>
        </is>
      </c>
      <c r="E15" s="5" t="n">
        <v>2427</v>
      </c>
      <c r="F15" s="5" t="n">
        <v>0</v>
      </c>
      <c r="G15" s="5" t="n">
        <v>2427</v>
      </c>
      <c r="H15" s="5" t="n">
        <v>2427</v>
      </c>
      <c r="I15" s="5" t="n">
        <v>0</v>
      </c>
      <c r="J15" s="6" t="inlineStr">
        <is>
          <t>přesčas řešen v prémii</t>
        </is>
      </c>
    </row>
    <row r="16">
      <c r="A16" s="7" t="n"/>
      <c r="B16" s="7" t="n"/>
      <c r="C16" s="7" t="n"/>
      <c r="D16" s="4" t="inlineStr">
        <is>
          <t>Oblečení</t>
        </is>
      </c>
      <c r="E16" s="5" t="n">
        <v>1962</v>
      </c>
      <c r="F16" s="5" t="n">
        <v>0</v>
      </c>
      <c r="G16" s="5" t="n">
        <v>1962</v>
      </c>
      <c r="H16" s="5" t="n">
        <v>0</v>
      </c>
      <c r="I16" s="13" t="n">
        <v>1962</v>
      </c>
      <c r="J16" s="6" t="inlineStr">
        <is>
          <t>pohyb (nekrátí se)</t>
        </is>
      </c>
    </row>
    <row r="17">
      <c r="A17" s="7" t="n"/>
      <c r="B17" s="7" t="n"/>
      <c r="C17" s="7" t="n"/>
      <c r="D17" s="4" t="inlineStr">
        <is>
          <t>Home office</t>
        </is>
      </c>
      <c r="E17" s="5" t="n">
        <v>1763</v>
      </c>
      <c r="F17" s="5" t="n">
        <v>0</v>
      </c>
      <c r="G17" s="5" t="n">
        <v>1763</v>
      </c>
      <c r="H17" s="5" t="n">
        <v>0</v>
      </c>
      <c r="I17" s="13" t="n">
        <v>1763</v>
      </c>
      <c r="J17" s="6" t="inlineStr">
        <is>
          <t>pohyb (nekrátí se)</t>
        </is>
      </c>
    </row>
    <row r="18">
      <c r="A18" s="8" t="n"/>
      <c r="B18" s="8" t="n"/>
      <c r="C18" s="8" t="n"/>
      <c r="D18" s="9" t="inlineStr">
        <is>
          <t>CELKEM</t>
        </is>
      </c>
      <c r="E18" s="10" t="n">
        <v>48506</v>
      </c>
      <c r="F18" s="10" t="n">
        <v>-7303</v>
      </c>
      <c r="G18" s="10" t="n">
        <v>41203</v>
      </c>
      <c r="H18" s="10" t="n">
        <v>38730</v>
      </c>
      <c r="I18" s="14" t="n">
        <v>2473</v>
      </c>
      <c r="J18" s="9" t="inlineStr"/>
    </row>
    <row r="19">
      <c r="A19" s="2" t="inlineStr">
        <is>
          <t>EC</t>
        </is>
      </c>
      <c r="B19" s="2" t="inlineStr">
        <is>
          <t>40</t>
        </is>
      </c>
      <c r="C19" s="3" t="inlineStr">
        <is>
          <t>Pavel Zeman</t>
        </is>
      </c>
      <c r="D19" s="4" t="inlineStr">
        <is>
          <t>Základní mzda</t>
        </is>
      </c>
      <c r="E19" s="5" t="n">
        <v>59500</v>
      </c>
      <c r="F19" s="12" t="n">
        <v>-2736</v>
      </c>
      <c r="G19" s="5" t="n">
        <v>56764</v>
      </c>
      <c r="H19" s="5" t="n">
        <v>59086</v>
      </c>
      <c r="I19" s="13" t="n">
        <v>-2322</v>
      </c>
      <c r="J19" s="6" t="inlineStr">
        <is>
          <t>odprac. 166/174.0h, +1h náhr.</t>
        </is>
      </c>
    </row>
    <row r="20">
      <c r="A20" s="7" t="n"/>
      <c r="B20" s="7" t="n"/>
      <c r="C20" s="7" t="n"/>
      <c r="D20" s="4" t="inlineStr">
        <is>
          <t>Osobní ohodnocení</t>
        </is>
      </c>
      <c r="E20" s="5" t="n">
        <v>2465</v>
      </c>
      <c r="F20" s="12" t="n">
        <v>-113</v>
      </c>
      <c r="G20" s="5" t="n">
        <v>2352</v>
      </c>
      <c r="H20" s="5" t="n">
        <v>2448</v>
      </c>
      <c r="I20" s="13" t="n">
        <v>-96</v>
      </c>
      <c r="J20" s="6" t="inlineStr"/>
    </row>
    <row r="21">
      <c r="A21" s="7" t="n"/>
      <c r="B21" s="7" t="n"/>
      <c r="C21" s="7" t="n"/>
      <c r="D21" s="4" t="inlineStr">
        <is>
          <t>Prémie</t>
        </is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6" t="inlineStr">
        <is>
          <t>přesčas řešen v prémii</t>
        </is>
      </c>
    </row>
    <row r="22">
      <c r="A22" s="7" t="n"/>
      <c r="B22" s="7" t="n"/>
      <c r="C22" s="7" t="n"/>
      <c r="D22" s="4" t="inlineStr">
        <is>
          <t>Oblečení</t>
        </is>
      </c>
      <c r="E22" s="5" t="n">
        <v>2275</v>
      </c>
      <c r="F22" s="5" t="n">
        <v>0</v>
      </c>
      <c r="G22" s="5" t="n">
        <v>2275</v>
      </c>
      <c r="H22" s="5" t="n">
        <v>0</v>
      </c>
      <c r="I22" s="13" t="n">
        <v>2275</v>
      </c>
      <c r="J22" s="6" t="inlineStr">
        <is>
          <t>pohyb (nekrátí se)</t>
        </is>
      </c>
    </row>
    <row r="23">
      <c r="A23" s="7" t="n"/>
      <c r="B23" s="7" t="n"/>
      <c r="C23" s="7" t="n"/>
      <c r="D23" s="4" t="inlineStr">
        <is>
          <t>Home office</t>
        </is>
      </c>
      <c r="E23" s="5" t="n">
        <v>2731</v>
      </c>
      <c r="F23" s="5" t="n">
        <v>0</v>
      </c>
      <c r="G23" s="5" t="n">
        <v>2731</v>
      </c>
      <c r="H23" s="5" t="n">
        <v>0</v>
      </c>
      <c r="I23" s="13" t="n">
        <v>2731</v>
      </c>
      <c r="J23" s="6" t="inlineStr">
        <is>
          <t>pohyb (nekrátí se)</t>
        </is>
      </c>
    </row>
    <row r="24">
      <c r="A24" s="7" t="n"/>
      <c r="B24" s="7" t="n"/>
      <c r="C24" s="7" t="n"/>
      <c r="D24" s="4" t="inlineStr">
        <is>
          <t>Cestovné</t>
        </is>
      </c>
      <c r="E24" s="5" t="n">
        <v>1470</v>
      </c>
      <c r="F24" s="5" t="n">
        <v>0</v>
      </c>
      <c r="G24" s="5" t="n">
        <v>1470</v>
      </c>
      <c r="H24" s="5" t="n">
        <v>0</v>
      </c>
      <c r="I24" s="13" t="n">
        <v>1470</v>
      </c>
      <c r="J24" s="6" t="inlineStr">
        <is>
          <t>pohyb (nekrátí se)</t>
        </is>
      </c>
    </row>
    <row r="25">
      <c r="A25" s="7" t="n"/>
      <c r="B25" s="7" t="n"/>
      <c r="C25" s="7" t="n"/>
      <c r="D25" s="4" t="inlineStr">
        <is>
          <t>Tel.srážka</t>
        </is>
      </c>
      <c r="E25" s="5" t="n">
        <v>-33</v>
      </c>
      <c r="F25" s="5" t="n">
        <v>0</v>
      </c>
      <c r="G25" s="5" t="n">
        <v>-33</v>
      </c>
      <c r="H25" s="5" t="n">
        <v>0</v>
      </c>
      <c r="I25" s="13" t="n">
        <v>-33</v>
      </c>
      <c r="J25" s="6" t="inlineStr">
        <is>
          <t>pohyb (nekrátí se)</t>
        </is>
      </c>
    </row>
    <row r="26">
      <c r="A26" s="8" t="n"/>
      <c r="B26" s="8" t="n"/>
      <c r="C26" s="8" t="n"/>
      <c r="D26" s="9" t="inlineStr">
        <is>
          <t>CELKEM</t>
        </is>
      </c>
      <c r="E26" s="10" t="n">
        <v>68408</v>
      </c>
      <c r="F26" s="10" t="n">
        <v>-2849</v>
      </c>
      <c r="G26" s="10" t="n">
        <v>65559</v>
      </c>
      <c r="H26" s="10" t="n">
        <v>61534</v>
      </c>
      <c r="I26" s="14" t="n">
        <v>4025</v>
      </c>
      <c r="J26" s="9" t="inlineStr"/>
    </row>
    <row r="27">
      <c r="A27" s="2" t="inlineStr">
        <is>
          <t>EC</t>
        </is>
      </c>
      <c r="B27" s="2" t="inlineStr">
        <is>
          <t>47</t>
        </is>
      </c>
      <c r="C27" s="3" t="inlineStr">
        <is>
          <t>Branislav Mózer</t>
        </is>
      </c>
      <c r="D27" s="4" t="inlineStr">
        <is>
          <t>Základní mzda</t>
        </is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6" t="inlineStr">
        <is>
          <t>bez hodin (variabilní)</t>
        </is>
      </c>
    </row>
    <row r="28">
      <c r="A28" s="7" t="n"/>
      <c r="B28" s="7" t="n"/>
      <c r="C28" s="7" t="n"/>
      <c r="D28" s="4" t="inlineStr">
        <is>
          <t>Osobní ohodnocení</t>
        </is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6" t="inlineStr"/>
    </row>
    <row r="29">
      <c r="A29" s="7" t="n"/>
      <c r="B29" s="7" t="n"/>
      <c r="C29" s="7" t="n"/>
      <c r="D29" s="4" t="inlineStr">
        <is>
          <t>Prémie</t>
        </is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6" t="inlineStr">
        <is>
          <t>přesčas řešen v prémii</t>
        </is>
      </c>
    </row>
    <row r="30">
      <c r="A30" s="7" t="n"/>
      <c r="B30" s="7" t="n"/>
      <c r="C30" s="7" t="n"/>
      <c r="D30" s="4" t="inlineStr">
        <is>
          <t>Odměna jednatele</t>
        </is>
      </c>
      <c r="E30" s="5" t="n">
        <v>22500</v>
      </c>
      <c r="F30" s="5" t="n">
        <v>0</v>
      </c>
      <c r="G30" s="5" t="n">
        <v>22500</v>
      </c>
      <c r="H30" s="5" t="n">
        <v>22500</v>
      </c>
      <c r="I30" s="5" t="n">
        <v>0</v>
      </c>
      <c r="J30" s="6" t="inlineStr">
        <is>
          <t>doplněno</t>
        </is>
      </c>
    </row>
    <row r="31">
      <c r="A31" s="8" t="n"/>
      <c r="B31" s="8" t="n"/>
      <c r="C31" s="8" t="n"/>
      <c r="D31" s="9" t="inlineStr">
        <is>
          <t>CELKEM</t>
        </is>
      </c>
      <c r="E31" s="10" t="n">
        <v>22500</v>
      </c>
      <c r="F31" s="10" t="n">
        <v>0</v>
      </c>
      <c r="G31" s="10" t="n">
        <v>22500</v>
      </c>
      <c r="H31" s="10" t="n">
        <v>22500</v>
      </c>
      <c r="I31" s="11" t="n">
        <v>0</v>
      </c>
      <c r="J31" s="9" t="inlineStr"/>
    </row>
    <row r="32">
      <c r="A32" s="2" t="inlineStr">
        <is>
          <t>EC</t>
        </is>
      </c>
      <c r="B32" s="2" t="inlineStr">
        <is>
          <t>361</t>
        </is>
      </c>
      <c r="C32" s="3" t="inlineStr">
        <is>
          <t>Klára Vlková</t>
        </is>
      </c>
      <c r="D32" s="4" t="inlineStr">
        <is>
          <t>Základní mzda</t>
        </is>
      </c>
      <c r="E32" s="5" t="n">
        <v>20400</v>
      </c>
      <c r="F32" s="12" t="n">
        <v>-703</v>
      </c>
      <c r="G32" s="5" t="n">
        <v>19697</v>
      </c>
      <c r="H32" s="5" t="n">
        <v>20400</v>
      </c>
      <c r="I32" s="13" t="n">
        <v>-703</v>
      </c>
      <c r="J32" s="6" t="inlineStr">
        <is>
          <t>odprac. 63/65.2h</t>
        </is>
      </c>
    </row>
    <row r="33">
      <c r="A33" s="7" t="n"/>
      <c r="B33" s="7" t="n"/>
      <c r="C33" s="7" t="n"/>
      <c r="D33" s="4" t="inlineStr">
        <is>
          <t>Osobní ohodnocení</t>
        </is>
      </c>
      <c r="E33" s="5" t="n">
        <v>40300</v>
      </c>
      <c r="F33" s="12" t="n">
        <v>-1390</v>
      </c>
      <c r="G33" s="5" t="n">
        <v>38910</v>
      </c>
      <c r="H33" s="5" t="n">
        <v>2362</v>
      </c>
      <c r="I33" s="13" t="n">
        <v>36548</v>
      </c>
      <c r="J33" s="6" t="inlineStr"/>
    </row>
    <row r="34">
      <c r="A34" s="7" t="n"/>
      <c r="B34" s="7" t="n"/>
      <c r="C34" s="7" t="n"/>
      <c r="D34" s="4" t="inlineStr">
        <is>
          <t>Prémie</t>
        </is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6" t="inlineStr">
        <is>
          <t>přesčas řešen v prémii</t>
        </is>
      </c>
    </row>
    <row r="35">
      <c r="A35" s="8" t="n"/>
      <c r="B35" s="8" t="n"/>
      <c r="C35" s="8" t="n"/>
      <c r="D35" s="9" t="inlineStr">
        <is>
          <t>CELKEM</t>
        </is>
      </c>
      <c r="E35" s="10" t="n">
        <v>60700</v>
      </c>
      <c r="F35" s="10" t="n">
        <v>-2093</v>
      </c>
      <c r="G35" s="10" t="n">
        <v>58607</v>
      </c>
      <c r="H35" s="10" t="n">
        <v>22762</v>
      </c>
      <c r="I35" s="14" t="n">
        <v>35845</v>
      </c>
      <c r="J35" s="9" t="inlineStr"/>
    </row>
    <row r="36">
      <c r="A36" s="2" t="inlineStr">
        <is>
          <t>EC</t>
        </is>
      </c>
      <c r="B36" s="2" t="inlineStr">
        <is>
          <t>374</t>
        </is>
      </c>
      <c r="C36" s="3" t="inlineStr">
        <is>
          <t>Ondřej Senft</t>
        </is>
      </c>
      <c r="D36" s="4" t="inlineStr">
        <is>
          <t>Základní mzda</t>
        </is>
      </c>
      <c r="E36" s="5" t="n">
        <v>9000</v>
      </c>
      <c r="F36" s="5" t="n">
        <v>0</v>
      </c>
      <c r="G36" s="5" t="n">
        <v>9000</v>
      </c>
      <c r="H36" s="5" t="n">
        <v>0</v>
      </c>
      <c r="I36" s="13" t="n">
        <v>9000</v>
      </c>
      <c r="J36" s="6" t="inlineStr">
        <is>
          <t>bez hodin (variabilní)</t>
        </is>
      </c>
    </row>
    <row r="37">
      <c r="A37" s="7" t="n"/>
      <c r="B37" s="7" t="n"/>
      <c r="C37" s="7" t="n"/>
      <c r="D37" s="4" t="inlineStr">
        <is>
          <t>Osobní ohodnocení</t>
        </is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6" t="inlineStr"/>
    </row>
    <row r="38">
      <c r="A38" s="7" t="n"/>
      <c r="B38" s="7" t="n"/>
      <c r="C38" s="7" t="n"/>
      <c r="D38" s="4" t="inlineStr">
        <is>
          <t>Prémie</t>
        </is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6" t="inlineStr">
        <is>
          <t>přesčas řešen v prémii</t>
        </is>
      </c>
    </row>
    <row r="39">
      <c r="A39" s="8" t="n"/>
      <c r="B39" s="8" t="n"/>
      <c r="C39" s="8" t="n"/>
      <c r="D39" s="9" t="inlineStr">
        <is>
          <t>CELKEM</t>
        </is>
      </c>
      <c r="E39" s="10" t="n">
        <v>9000</v>
      </c>
      <c r="F39" s="10" t="n">
        <v>0</v>
      </c>
      <c r="G39" s="10" t="n">
        <v>9000</v>
      </c>
      <c r="H39" s="10" t="n">
        <v>0</v>
      </c>
      <c r="I39" s="14" t="n">
        <v>9000</v>
      </c>
      <c r="J39" s="9" t="inlineStr"/>
    </row>
    <row r="40">
      <c r="A40" s="2" t="inlineStr">
        <is>
          <t>EC</t>
        </is>
      </c>
      <c r="B40" s="2" t="inlineStr">
        <is>
          <t>420</t>
        </is>
      </c>
      <c r="C40" s="3" t="inlineStr">
        <is>
          <t>Ivana Honomichlová</t>
        </is>
      </c>
      <c r="D40" s="4" t="inlineStr">
        <is>
          <t>Základní mzda</t>
        </is>
      </c>
      <c r="E40" s="5" t="n">
        <v>30500</v>
      </c>
      <c r="F40" s="12" t="n">
        <v>-1052</v>
      </c>
      <c r="G40" s="5" t="n">
        <v>29448</v>
      </c>
      <c r="H40" s="5" t="n">
        <v>30500</v>
      </c>
      <c r="I40" s="13" t="n">
        <v>-1052</v>
      </c>
      <c r="J40" s="6" t="inlineStr">
        <is>
          <t>odprac. 168/174.0h</t>
        </is>
      </c>
    </row>
    <row r="41">
      <c r="A41" s="7" t="n"/>
      <c r="B41" s="7" t="n"/>
      <c r="C41" s="7" t="n"/>
      <c r="D41" s="4" t="inlineStr">
        <is>
          <t>Osobní ohodnocení</t>
        </is>
      </c>
      <c r="E41" s="5" t="n">
        <v>3147</v>
      </c>
      <c r="F41" s="12" t="n">
        <v>-109</v>
      </c>
      <c r="G41" s="5" t="n">
        <v>3038</v>
      </c>
      <c r="H41" s="5" t="n">
        <v>2406</v>
      </c>
      <c r="I41" s="13" t="n">
        <v>632</v>
      </c>
      <c r="J41" s="6" t="inlineStr"/>
    </row>
    <row r="42">
      <c r="A42" s="7" t="n"/>
      <c r="B42" s="7" t="n"/>
      <c r="C42" s="7" t="n"/>
      <c r="D42" s="4" t="inlineStr">
        <is>
          <t>Prémie</t>
        </is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6" t="inlineStr">
        <is>
          <t>přesčas řešen v prémii</t>
        </is>
      </c>
    </row>
    <row r="43">
      <c r="A43" s="7" t="n"/>
      <c r="B43" s="7" t="n"/>
      <c r="C43" s="7" t="n"/>
      <c r="D43" s="4" t="inlineStr">
        <is>
          <t>Oblečení</t>
        </is>
      </c>
      <c r="E43" s="5" t="n">
        <v>2289</v>
      </c>
      <c r="F43" s="5" t="n">
        <v>0</v>
      </c>
      <c r="G43" s="5" t="n">
        <v>2289</v>
      </c>
      <c r="H43" s="5" t="n">
        <v>0</v>
      </c>
      <c r="I43" s="13" t="n">
        <v>2289</v>
      </c>
      <c r="J43" s="6" t="inlineStr">
        <is>
          <t>pohyb (nekrátí se)</t>
        </is>
      </c>
    </row>
    <row r="44">
      <c r="A44" s="7" t="n"/>
      <c r="B44" s="7" t="n"/>
      <c r="C44" s="7" t="n"/>
      <c r="D44" s="4" t="inlineStr">
        <is>
          <t>Home office</t>
        </is>
      </c>
      <c r="E44" s="5" t="n">
        <v>2064</v>
      </c>
      <c r="F44" s="5" t="n">
        <v>0</v>
      </c>
      <c r="G44" s="5" t="n">
        <v>2064</v>
      </c>
      <c r="H44" s="5" t="n">
        <v>0</v>
      </c>
      <c r="I44" s="13" t="n">
        <v>2064</v>
      </c>
      <c r="J44" s="6" t="inlineStr">
        <is>
          <t>pohyb (nekrátí se)</t>
        </is>
      </c>
    </row>
    <row r="45">
      <c r="A45" s="7" t="n"/>
      <c r="B45" s="7" t="n"/>
      <c r="C45" s="7" t="n"/>
      <c r="D45" s="4" t="inlineStr">
        <is>
          <t>Tel.srážka</t>
        </is>
      </c>
      <c r="E45" s="5" t="n">
        <v>-9</v>
      </c>
      <c r="F45" s="5" t="n">
        <v>0</v>
      </c>
      <c r="G45" s="5" t="n">
        <v>-9</v>
      </c>
      <c r="H45" s="5" t="n">
        <v>0</v>
      </c>
      <c r="I45" s="13" t="n">
        <v>-9</v>
      </c>
      <c r="J45" s="6" t="inlineStr">
        <is>
          <t>pohyb (nekrátí se)</t>
        </is>
      </c>
    </row>
    <row r="46">
      <c r="A46" s="8" t="n"/>
      <c r="B46" s="8" t="n"/>
      <c r="C46" s="8" t="n"/>
      <c r="D46" s="9" t="inlineStr">
        <is>
          <t>CELKEM</t>
        </is>
      </c>
      <c r="E46" s="10" t="n">
        <v>37991</v>
      </c>
      <c r="F46" s="10" t="n">
        <v>-1161</v>
      </c>
      <c r="G46" s="10" t="n">
        <v>36830</v>
      </c>
      <c r="H46" s="10" t="n">
        <v>32906</v>
      </c>
      <c r="I46" s="14" t="n">
        <v>3924</v>
      </c>
      <c r="J46" s="9" t="inlineStr"/>
    </row>
    <row r="47">
      <c r="A47" s="2" t="inlineStr">
        <is>
          <t>EC</t>
        </is>
      </c>
      <c r="B47" s="2" t="inlineStr">
        <is>
          <t>435</t>
        </is>
      </c>
      <c r="C47" s="3" t="inlineStr">
        <is>
          <t>Jan Svatoš</t>
        </is>
      </c>
      <c r="D47" s="4" t="inlineStr">
        <is>
          <t>Základní mzda</t>
        </is>
      </c>
      <c r="E47" s="5" t="n">
        <v>40500</v>
      </c>
      <c r="F47" s="12" t="n">
        <v>-1397</v>
      </c>
      <c r="G47" s="5" t="n">
        <v>39103</v>
      </c>
      <c r="H47" s="5" t="n">
        <v>40500</v>
      </c>
      <c r="I47" s="13" t="n">
        <v>-1397</v>
      </c>
      <c r="J47" s="6" t="inlineStr">
        <is>
          <t>odprac. 168/174.0h</t>
        </is>
      </c>
    </row>
    <row r="48">
      <c r="A48" s="7" t="n"/>
      <c r="B48" s="7" t="n"/>
      <c r="C48" s="7" t="n"/>
      <c r="D48" s="4" t="inlineStr">
        <is>
          <t>Osobní ohodnocení</t>
        </is>
      </c>
      <c r="E48" s="5" t="n">
        <v>1641</v>
      </c>
      <c r="F48" s="12" t="n">
        <v>-57</v>
      </c>
      <c r="G48" s="5" t="n">
        <v>1584</v>
      </c>
      <c r="H48" s="5" t="n">
        <v>1641</v>
      </c>
      <c r="I48" s="13" t="n">
        <v>-57</v>
      </c>
      <c r="J48" s="6" t="inlineStr"/>
    </row>
    <row r="49">
      <c r="A49" s="7" t="n"/>
      <c r="B49" s="7" t="n"/>
      <c r="C49" s="7" t="n"/>
      <c r="D49" s="4" t="inlineStr">
        <is>
          <t>Prémie</t>
        </is>
      </c>
      <c r="E49" s="5" t="n">
        <v>0</v>
      </c>
      <c r="F49" s="5" t="n">
        <v>0</v>
      </c>
      <c r="G49" s="5" t="n">
        <v>0</v>
      </c>
      <c r="H49" s="5" t="n">
        <v>335</v>
      </c>
      <c r="I49" s="13" t="n">
        <v>-335</v>
      </c>
      <c r="J49" s="6" t="inlineStr">
        <is>
          <t>přesčas řešen v prémii</t>
        </is>
      </c>
    </row>
    <row r="50">
      <c r="A50" s="7" t="n"/>
      <c r="B50" s="7" t="n"/>
      <c r="C50" s="7" t="n"/>
      <c r="D50" s="4" t="inlineStr">
        <is>
          <t>Oblečení</t>
        </is>
      </c>
      <c r="E50" s="5" t="n">
        <v>5859</v>
      </c>
      <c r="F50" s="5" t="n">
        <v>0</v>
      </c>
      <c r="G50" s="5" t="n">
        <v>5859</v>
      </c>
      <c r="H50" s="5" t="n">
        <v>0</v>
      </c>
      <c r="I50" s="13" t="n">
        <v>5859</v>
      </c>
      <c r="J50" s="6" t="inlineStr">
        <is>
          <t>pohyb (nekrátí se)</t>
        </is>
      </c>
    </row>
    <row r="51">
      <c r="A51" s="7" t="n"/>
      <c r="B51" s="7" t="n"/>
      <c r="C51" s="7" t="n"/>
      <c r="D51" s="4" t="inlineStr">
        <is>
          <t>Tel.srážka</t>
        </is>
      </c>
      <c r="E51" s="5" t="n">
        <v>-267</v>
      </c>
      <c r="F51" s="5" t="n">
        <v>0</v>
      </c>
      <c r="G51" s="5" t="n">
        <v>-267</v>
      </c>
      <c r="H51" s="5" t="n">
        <v>0</v>
      </c>
      <c r="I51" s="13" t="n">
        <v>-267</v>
      </c>
      <c r="J51" s="6" t="inlineStr">
        <is>
          <t>pohyb (nekrátí se)</t>
        </is>
      </c>
    </row>
    <row r="52">
      <c r="A52" s="8" t="n"/>
      <c r="B52" s="8" t="n"/>
      <c r="C52" s="8" t="n"/>
      <c r="D52" s="9" t="inlineStr">
        <is>
          <t>CELKEM</t>
        </is>
      </c>
      <c r="E52" s="10" t="n">
        <v>47733</v>
      </c>
      <c r="F52" s="10" t="n">
        <v>-1454</v>
      </c>
      <c r="G52" s="10" t="n">
        <v>46279</v>
      </c>
      <c r="H52" s="10" t="n">
        <v>42476</v>
      </c>
      <c r="I52" s="14" t="n">
        <v>3803</v>
      </c>
      <c r="J52" s="9" t="inlineStr"/>
    </row>
    <row r="53">
      <c r="A53" s="2" t="inlineStr">
        <is>
          <t>EC</t>
        </is>
      </c>
      <c r="B53" s="2" t="inlineStr">
        <is>
          <t>456</t>
        </is>
      </c>
      <c r="C53" s="3" t="inlineStr">
        <is>
          <t>Martin Króner</t>
        </is>
      </c>
      <c r="D53" s="4" t="inlineStr">
        <is>
          <t>Základní mzda</t>
        </is>
      </c>
      <c r="E53" s="5" t="n">
        <v>37820</v>
      </c>
      <c r="F53" s="12" t="n">
        <v>-18693</v>
      </c>
      <c r="G53" s="5" t="n">
        <v>19127</v>
      </c>
      <c r="H53" s="5" t="n">
        <v>19810</v>
      </c>
      <c r="I53" s="13" t="n">
        <v>-683</v>
      </c>
      <c r="J53" s="6" t="inlineStr">
        <is>
          <t>odprac. 88/174.0h, +80h náhr.</t>
        </is>
      </c>
    </row>
    <row r="54">
      <c r="A54" s="7" t="n"/>
      <c r="B54" s="7" t="n"/>
      <c r="C54" s="7" t="n"/>
      <c r="D54" s="4" t="inlineStr">
        <is>
          <t>Osobní ohodnocení</t>
        </is>
      </c>
      <c r="E54" s="5" t="n">
        <v>1641</v>
      </c>
      <c r="F54" s="12" t="n">
        <v>-811</v>
      </c>
      <c r="G54" s="5" t="n">
        <v>830</v>
      </c>
      <c r="H54" s="5" t="n">
        <v>860</v>
      </c>
      <c r="I54" s="13" t="n">
        <v>-30</v>
      </c>
      <c r="J54" s="6" t="inlineStr"/>
    </row>
    <row r="55">
      <c r="A55" s="7" t="n"/>
      <c r="B55" s="7" t="n"/>
      <c r="C55" s="7" t="n"/>
      <c r="D55" s="4" t="inlineStr">
        <is>
          <t>Prémie</t>
        </is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6" t="inlineStr">
        <is>
          <t>přesčas řešen v prémii</t>
        </is>
      </c>
    </row>
    <row r="56">
      <c r="A56" s="7" t="n"/>
      <c r="B56" s="7" t="n"/>
      <c r="C56" s="7" t="n"/>
      <c r="D56" s="4" t="inlineStr">
        <is>
          <t>Oblečení</t>
        </is>
      </c>
      <c r="E56" s="5" t="n">
        <v>3069</v>
      </c>
      <c r="F56" s="5" t="n">
        <v>0</v>
      </c>
      <c r="G56" s="5" t="n">
        <v>3069</v>
      </c>
      <c r="H56" s="5" t="n">
        <v>0</v>
      </c>
      <c r="I56" s="13" t="n">
        <v>3069</v>
      </c>
      <c r="J56" s="6" t="inlineStr">
        <is>
          <t>pohyb (nekrátí se)</t>
        </is>
      </c>
    </row>
    <row r="57">
      <c r="A57" s="7" t="n"/>
      <c r="B57" s="7" t="n"/>
      <c r="C57" s="7" t="n"/>
      <c r="D57" s="4" t="inlineStr">
        <is>
          <t>Tel.srážka</t>
        </is>
      </c>
      <c r="E57" s="5" t="n">
        <v>-5</v>
      </c>
      <c r="F57" s="5" t="n">
        <v>0</v>
      </c>
      <c r="G57" s="5" t="n">
        <v>-5</v>
      </c>
      <c r="H57" s="5" t="n">
        <v>0</v>
      </c>
      <c r="I57" s="13" t="n">
        <v>-5</v>
      </c>
      <c r="J57" s="6" t="inlineStr">
        <is>
          <t>pohyb (nekrátí se)</t>
        </is>
      </c>
    </row>
    <row r="58">
      <c r="A58" s="8" t="n"/>
      <c r="B58" s="8" t="n"/>
      <c r="C58" s="8" t="n"/>
      <c r="D58" s="9" t="inlineStr">
        <is>
          <t>CELKEM</t>
        </is>
      </c>
      <c r="E58" s="10" t="n">
        <v>42525</v>
      </c>
      <c r="F58" s="10" t="n">
        <v>-19504</v>
      </c>
      <c r="G58" s="10" t="n">
        <v>23021</v>
      </c>
      <c r="H58" s="10" t="n">
        <v>20670</v>
      </c>
      <c r="I58" s="14" t="n">
        <v>2351</v>
      </c>
      <c r="J58" s="9" t="inlineStr"/>
    </row>
    <row r="59">
      <c r="A59" s="2" t="inlineStr">
        <is>
          <t>EC</t>
        </is>
      </c>
      <c r="B59" s="2" t="inlineStr">
        <is>
          <t>465</t>
        </is>
      </c>
      <c r="C59" s="3" t="inlineStr">
        <is>
          <t>Luboš Trunec</t>
        </is>
      </c>
      <c r="D59" s="4" t="inlineStr">
        <is>
          <t>Základní mzda</t>
        </is>
      </c>
      <c r="E59" s="5" t="n">
        <v>41500</v>
      </c>
      <c r="F59" s="12" t="n">
        <v>-1431</v>
      </c>
      <c r="G59" s="5" t="n">
        <v>40069</v>
      </c>
      <c r="H59" s="5" t="n">
        <v>41500</v>
      </c>
      <c r="I59" s="13" t="n">
        <v>-1431</v>
      </c>
      <c r="J59" s="6" t="inlineStr">
        <is>
          <t>odprac. 168/174.0h</t>
        </is>
      </c>
    </row>
    <row r="60">
      <c r="A60" s="7" t="n"/>
      <c r="B60" s="7" t="n"/>
      <c r="C60" s="7" t="n"/>
      <c r="D60" s="4" t="inlineStr">
        <is>
          <t>Osobní ohodnocení</t>
        </is>
      </c>
      <c r="E60" s="5" t="n">
        <v>641</v>
      </c>
      <c r="F60" s="12" t="n">
        <v>-22</v>
      </c>
      <c r="G60" s="5" t="n">
        <v>619</v>
      </c>
      <c r="H60" s="5" t="n">
        <v>3641</v>
      </c>
      <c r="I60" s="13" t="n">
        <v>-3022</v>
      </c>
      <c r="J60" s="6" t="inlineStr"/>
    </row>
    <row r="61">
      <c r="A61" s="7" t="n"/>
      <c r="B61" s="7" t="n"/>
      <c r="C61" s="7" t="n"/>
      <c r="D61" s="4" t="inlineStr">
        <is>
          <t>Prémie</t>
        </is>
      </c>
      <c r="E61" s="5" t="n">
        <v>3000</v>
      </c>
      <c r="F61" s="5" t="n">
        <v>0</v>
      </c>
      <c r="G61" s="5" t="n">
        <v>3000</v>
      </c>
      <c r="H61" s="5" t="n">
        <v>1470</v>
      </c>
      <c r="I61" s="13" t="n">
        <v>1530</v>
      </c>
      <c r="J61" s="6" t="inlineStr">
        <is>
          <t>přesčas řešen v prémii</t>
        </is>
      </c>
    </row>
    <row r="62">
      <c r="A62" s="7" t="n"/>
      <c r="B62" s="7" t="n"/>
      <c r="C62" s="7" t="n"/>
      <c r="D62" s="4" t="inlineStr">
        <is>
          <t>Oblečení</t>
        </is>
      </c>
      <c r="E62" s="5" t="n">
        <v>5859</v>
      </c>
      <c r="F62" s="5" t="n">
        <v>0</v>
      </c>
      <c r="G62" s="5" t="n">
        <v>5859</v>
      </c>
      <c r="H62" s="5" t="n">
        <v>0</v>
      </c>
      <c r="I62" s="13" t="n">
        <v>5859</v>
      </c>
      <c r="J62" s="6" t="inlineStr">
        <is>
          <t>pohyb (nekrátí se)</t>
        </is>
      </c>
    </row>
    <row r="63">
      <c r="A63" s="8" t="n"/>
      <c r="B63" s="8" t="n"/>
      <c r="C63" s="8" t="n"/>
      <c r="D63" s="9" t="inlineStr">
        <is>
          <t>CELKEM</t>
        </is>
      </c>
      <c r="E63" s="10" t="n">
        <v>51000</v>
      </c>
      <c r="F63" s="10" t="n">
        <v>-1453</v>
      </c>
      <c r="G63" s="10" t="n">
        <v>49547</v>
      </c>
      <c r="H63" s="10" t="n">
        <v>46611</v>
      </c>
      <c r="I63" s="14" t="n">
        <v>2936</v>
      </c>
      <c r="J63" s="9" t="inlineStr"/>
    </row>
    <row r="64">
      <c r="A64" s="2" t="inlineStr">
        <is>
          <t>EC</t>
        </is>
      </c>
      <c r="B64" s="2" t="inlineStr">
        <is>
          <t>472</t>
        </is>
      </c>
      <c r="C64" s="3" t="inlineStr">
        <is>
          <t>Vladimír Navrátil</t>
        </is>
      </c>
      <c r="D64" s="4" t="inlineStr">
        <is>
          <t>Základní mzda</t>
        </is>
      </c>
      <c r="E64" s="5" t="n">
        <v>29200</v>
      </c>
      <c r="F64" s="12" t="n">
        <v>-1007</v>
      </c>
      <c r="G64" s="5" t="n">
        <v>28193</v>
      </c>
      <c r="H64" s="5" t="n">
        <v>29200</v>
      </c>
      <c r="I64" s="13" t="n">
        <v>-1007</v>
      </c>
      <c r="J64" s="6" t="inlineStr">
        <is>
          <t>odprac. 168/174.0h</t>
        </is>
      </c>
    </row>
    <row r="65">
      <c r="A65" s="7" t="n"/>
      <c r="B65" s="7" t="n"/>
      <c r="C65" s="7" t="n"/>
      <c r="D65" s="4" t="inlineStr">
        <is>
          <t>Osobní ohodnocení</t>
        </is>
      </c>
      <c r="E65" s="5" t="n">
        <v>1641</v>
      </c>
      <c r="F65" s="12" t="n">
        <v>-57</v>
      </c>
      <c r="G65" s="5" t="n">
        <v>1584</v>
      </c>
      <c r="H65" s="5" t="n">
        <v>1641</v>
      </c>
      <c r="I65" s="13" t="n">
        <v>-57</v>
      </c>
      <c r="J65" s="6" t="inlineStr"/>
    </row>
    <row r="66">
      <c r="A66" s="7" t="n"/>
      <c r="B66" s="7" t="n"/>
      <c r="C66" s="7" t="n"/>
      <c r="D66" s="4" t="inlineStr">
        <is>
          <t>Prémie</t>
        </is>
      </c>
      <c r="E66" s="5" t="n">
        <v>0</v>
      </c>
      <c r="F66" s="5" t="n">
        <v>0</v>
      </c>
      <c r="G66" s="5" t="n">
        <v>0</v>
      </c>
      <c r="H66" s="5" t="n">
        <v>400</v>
      </c>
      <c r="I66" s="13" t="n">
        <v>-400</v>
      </c>
      <c r="J66" s="6" t="inlineStr">
        <is>
          <t>přesčas řešen v prémii</t>
        </is>
      </c>
    </row>
    <row r="67">
      <c r="A67" s="7" t="n"/>
      <c r="B67" s="7" t="n"/>
      <c r="C67" s="7" t="n"/>
      <c r="D67" s="4" t="inlineStr">
        <is>
          <t>Oblečení</t>
        </is>
      </c>
      <c r="E67" s="5" t="n">
        <v>5859</v>
      </c>
      <c r="F67" s="5" t="n">
        <v>0</v>
      </c>
      <c r="G67" s="5" t="n">
        <v>5859</v>
      </c>
      <c r="H67" s="5" t="n">
        <v>0</v>
      </c>
      <c r="I67" s="13" t="n">
        <v>5859</v>
      </c>
      <c r="J67" s="6" t="inlineStr">
        <is>
          <t>pohyb (nekrátí se)</t>
        </is>
      </c>
    </row>
    <row r="68">
      <c r="A68" s="8" t="n"/>
      <c r="B68" s="8" t="n"/>
      <c r="C68" s="8" t="n"/>
      <c r="D68" s="9" t="inlineStr">
        <is>
          <t>CELKEM</t>
        </is>
      </c>
      <c r="E68" s="10" t="n">
        <v>36700</v>
      </c>
      <c r="F68" s="10" t="n">
        <v>-1064</v>
      </c>
      <c r="G68" s="10" t="n">
        <v>35636</v>
      </c>
      <c r="H68" s="10" t="n">
        <v>31241</v>
      </c>
      <c r="I68" s="14" t="n">
        <v>4395</v>
      </c>
      <c r="J68" s="9" t="inlineStr"/>
    </row>
    <row r="69">
      <c r="A69" s="2" t="inlineStr">
        <is>
          <t>EC</t>
        </is>
      </c>
      <c r="B69" s="2" t="inlineStr">
        <is>
          <t>475</t>
        </is>
      </c>
      <c r="C69" s="3" t="inlineStr">
        <is>
          <t>Andrea Bernardová</t>
        </is>
      </c>
      <c r="D69" s="4" t="inlineStr">
        <is>
          <t>Základní mzda</t>
        </is>
      </c>
      <c r="E69" s="5" t="n">
        <v>22491</v>
      </c>
      <c r="F69" s="12" t="n">
        <v>-1486</v>
      </c>
      <c r="G69" s="5" t="n">
        <v>21005</v>
      </c>
      <c r="H69" s="5" t="n">
        <v>21822</v>
      </c>
      <c r="I69" s="13" t="n">
        <v>-817</v>
      </c>
      <c r="J69" s="6" t="inlineStr">
        <is>
          <t>odprac. 130/139.2h, +4h náhr.</t>
        </is>
      </c>
    </row>
    <row r="70">
      <c r="A70" s="7" t="n"/>
      <c r="B70" s="7" t="n"/>
      <c r="C70" s="7" t="n"/>
      <c r="D70" s="4" t="inlineStr">
        <is>
          <t>Osobní ohodnocení</t>
        </is>
      </c>
      <c r="E70" s="5" t="n">
        <v>6747</v>
      </c>
      <c r="F70" s="12" t="n">
        <v>-446</v>
      </c>
      <c r="G70" s="5" t="n">
        <v>6301</v>
      </c>
      <c r="H70" s="5" t="n">
        <v>110</v>
      </c>
      <c r="I70" s="13" t="n">
        <v>6191</v>
      </c>
      <c r="J70" s="6" t="inlineStr"/>
    </row>
    <row r="71">
      <c r="A71" s="7" t="n"/>
      <c r="B71" s="7" t="n"/>
      <c r="C71" s="7" t="n"/>
      <c r="D71" s="4" t="inlineStr">
        <is>
          <t>Prémie</t>
        </is>
      </c>
      <c r="E71" s="5" t="n">
        <v>0</v>
      </c>
      <c r="F71" s="5" t="n">
        <v>0</v>
      </c>
      <c r="G71" s="5" t="n">
        <v>0</v>
      </c>
      <c r="H71" s="5" t="n">
        <v>0</v>
      </c>
      <c r="I71" s="5" t="n">
        <v>0</v>
      </c>
      <c r="J71" s="6" t="inlineStr">
        <is>
          <t>přesčas řešen v prémii</t>
        </is>
      </c>
    </row>
    <row r="72">
      <c r="A72" s="7" t="n"/>
      <c r="B72" s="7" t="n"/>
      <c r="C72" s="7" t="n"/>
      <c r="D72" s="4" t="inlineStr">
        <is>
          <t>Oblečení</t>
        </is>
      </c>
      <c r="E72" s="5" t="n">
        <v>2214</v>
      </c>
      <c r="F72" s="5" t="n">
        <v>0</v>
      </c>
      <c r="G72" s="5" t="n">
        <v>2214</v>
      </c>
      <c r="H72" s="5" t="n">
        <v>0</v>
      </c>
      <c r="I72" s="13" t="n">
        <v>2214</v>
      </c>
      <c r="J72" s="6" t="inlineStr">
        <is>
          <t>pohyb (nekrátí se)</t>
        </is>
      </c>
    </row>
    <row r="73">
      <c r="A73" s="7" t="n"/>
      <c r="B73" s="7" t="n"/>
      <c r="C73" s="7" t="n"/>
      <c r="D73" s="4" t="inlineStr">
        <is>
          <t>Home office</t>
        </is>
      </c>
      <c r="E73" s="5" t="n">
        <v>1591</v>
      </c>
      <c r="F73" s="5" t="n">
        <v>0</v>
      </c>
      <c r="G73" s="5" t="n">
        <v>1591</v>
      </c>
      <c r="H73" s="5" t="n">
        <v>0</v>
      </c>
      <c r="I73" s="13" t="n">
        <v>1591</v>
      </c>
      <c r="J73" s="6" t="inlineStr">
        <is>
          <t>pohyb (nekrátí se)</t>
        </is>
      </c>
    </row>
    <row r="74">
      <c r="A74" s="7" t="n"/>
      <c r="B74" s="7" t="n"/>
      <c r="C74" s="7" t="n"/>
      <c r="D74" s="4" t="inlineStr">
        <is>
          <t>Tel.srážka</t>
        </is>
      </c>
      <c r="E74" s="5" t="n">
        <v>-83</v>
      </c>
      <c r="F74" s="5" t="n">
        <v>0</v>
      </c>
      <c r="G74" s="5" t="n">
        <v>-83</v>
      </c>
      <c r="H74" s="5" t="n">
        <v>0</v>
      </c>
      <c r="I74" s="13" t="n">
        <v>-83</v>
      </c>
      <c r="J74" s="6" t="inlineStr">
        <is>
          <t>pohyb (nekrátí se)</t>
        </is>
      </c>
    </row>
    <row r="75">
      <c r="A75" s="8" t="n"/>
      <c r="B75" s="8" t="n"/>
      <c r="C75" s="8" t="n"/>
      <c r="D75" s="9" t="inlineStr">
        <is>
          <t>CELKEM</t>
        </is>
      </c>
      <c r="E75" s="10" t="n">
        <v>32960</v>
      </c>
      <c r="F75" s="10" t="n">
        <v>-1932</v>
      </c>
      <c r="G75" s="10" t="n">
        <v>31028</v>
      </c>
      <c r="H75" s="10" t="n">
        <v>21932</v>
      </c>
      <c r="I75" s="14" t="n">
        <v>9096</v>
      </c>
      <c r="J75" s="9" t="inlineStr"/>
    </row>
    <row r="76">
      <c r="A76" s="2" t="inlineStr">
        <is>
          <t>EC</t>
        </is>
      </c>
      <c r="B76" s="2" t="inlineStr">
        <is>
          <t>525</t>
        </is>
      </c>
      <c r="C76" s="3" t="inlineStr">
        <is>
          <t>Světlana Herejtová</t>
        </is>
      </c>
      <c r="D76" s="4" t="inlineStr">
        <is>
          <t>Základní mzda</t>
        </is>
      </c>
      <c r="E76" s="5" t="n">
        <v>4000</v>
      </c>
      <c r="F76" s="5" t="n">
        <v>0</v>
      </c>
      <c r="G76" s="5" t="n">
        <v>4000</v>
      </c>
      <c r="H76" s="5" t="n">
        <v>0</v>
      </c>
      <c r="I76" s="13" t="n">
        <v>4000</v>
      </c>
      <c r="J76" s="6" t="inlineStr">
        <is>
          <t>bez hodin (variabilní)</t>
        </is>
      </c>
    </row>
    <row r="77">
      <c r="A77" s="7" t="n"/>
      <c r="B77" s="7" t="n"/>
      <c r="C77" s="7" t="n"/>
      <c r="D77" s="4" t="inlineStr">
        <is>
          <t>Osobní ohodnocení</t>
        </is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6" t="inlineStr"/>
    </row>
    <row r="78">
      <c r="A78" s="7" t="n"/>
      <c r="B78" s="7" t="n"/>
      <c r="C78" s="7" t="n"/>
      <c r="D78" s="4" t="inlineStr">
        <is>
          <t>Prémie</t>
        </is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6" t="inlineStr">
        <is>
          <t>přesčas řešen v prémii</t>
        </is>
      </c>
    </row>
    <row r="79">
      <c r="A79" s="8" t="n"/>
      <c r="B79" s="8" t="n"/>
      <c r="C79" s="8" t="n"/>
      <c r="D79" s="9" t="inlineStr">
        <is>
          <t>CELKEM</t>
        </is>
      </c>
      <c r="E79" s="10" t="n">
        <v>4000</v>
      </c>
      <c r="F79" s="10" t="n">
        <v>0</v>
      </c>
      <c r="G79" s="10" t="n">
        <v>4000</v>
      </c>
      <c r="H79" s="10" t="n">
        <v>0</v>
      </c>
      <c r="I79" s="14" t="n">
        <v>4000</v>
      </c>
      <c r="J79" s="9" t="inlineStr"/>
    </row>
    <row r="80">
      <c r="A80" s="2" t="inlineStr">
        <is>
          <t>EC</t>
        </is>
      </c>
      <c r="B80" s="2" t="inlineStr">
        <is>
          <t>532</t>
        </is>
      </c>
      <c r="C80" s="3" t="inlineStr">
        <is>
          <t>Jakub Kasal</t>
        </is>
      </c>
      <c r="D80" s="4" t="inlineStr">
        <is>
          <t>Základní mzda</t>
        </is>
      </c>
      <c r="E80" s="5" t="n">
        <v>32500</v>
      </c>
      <c r="F80" s="12" t="n">
        <v>-9152</v>
      </c>
      <c r="G80" s="5" t="n">
        <v>23348</v>
      </c>
      <c r="H80" s="5" t="n">
        <v>24317</v>
      </c>
      <c r="I80" s="13" t="n">
        <v>-969</v>
      </c>
      <c r="J80" s="6" t="inlineStr">
        <is>
          <t>odprac. 125/174.0h, +42h náhr.</t>
        </is>
      </c>
    </row>
    <row r="81">
      <c r="A81" s="7" t="n"/>
      <c r="B81" s="7" t="n"/>
      <c r="C81" s="7" t="n"/>
      <c r="D81" s="4" t="inlineStr">
        <is>
          <t>Osobní ohodnocení</t>
        </is>
      </c>
      <c r="E81" s="5" t="n">
        <v>1641</v>
      </c>
      <c r="F81" s="12" t="n">
        <v>-462</v>
      </c>
      <c r="G81" s="5" t="n">
        <v>1179</v>
      </c>
      <c r="H81" s="5" t="n">
        <v>1228</v>
      </c>
      <c r="I81" s="13" t="n">
        <v>-49</v>
      </c>
      <c r="J81" s="6" t="inlineStr"/>
    </row>
    <row r="82">
      <c r="A82" s="7" t="n"/>
      <c r="B82" s="7" t="n"/>
      <c r="C82" s="7" t="n"/>
      <c r="D82" s="4" t="inlineStr">
        <is>
          <t>Prémie</t>
        </is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6" t="inlineStr">
        <is>
          <t>přesčas řešen v prémii</t>
        </is>
      </c>
    </row>
    <row r="83">
      <c r="A83" s="7" t="n"/>
      <c r="B83" s="7" t="n"/>
      <c r="C83" s="7" t="n"/>
      <c r="D83" s="4" t="inlineStr">
        <is>
          <t>Oblečení</t>
        </is>
      </c>
      <c r="E83" s="5" t="n">
        <v>4394</v>
      </c>
      <c r="F83" s="5" t="n">
        <v>0</v>
      </c>
      <c r="G83" s="5" t="n">
        <v>4394</v>
      </c>
      <c r="H83" s="5" t="n">
        <v>0</v>
      </c>
      <c r="I83" s="13" t="n">
        <v>4394</v>
      </c>
      <c r="J83" s="6" t="inlineStr">
        <is>
          <t>pohyb (nekrátí se)</t>
        </is>
      </c>
    </row>
    <row r="84">
      <c r="A84" s="8" t="n"/>
      <c r="B84" s="8" t="n"/>
      <c r="C84" s="8" t="n"/>
      <c r="D84" s="9" t="inlineStr">
        <is>
          <t>CELKEM</t>
        </is>
      </c>
      <c r="E84" s="10" t="n">
        <v>38535</v>
      </c>
      <c r="F84" s="10" t="n">
        <v>-9614</v>
      </c>
      <c r="G84" s="10" t="n">
        <v>28921</v>
      </c>
      <c r="H84" s="10" t="n">
        <v>25545</v>
      </c>
      <c r="I84" s="14" t="n">
        <v>3376</v>
      </c>
      <c r="J84" s="9" t="inlineStr"/>
    </row>
    <row r="85">
      <c r="A85" s="2" t="inlineStr">
        <is>
          <t>EC</t>
        </is>
      </c>
      <c r="B85" s="2" t="inlineStr">
        <is>
          <t>533</t>
        </is>
      </c>
      <c r="C85" s="3" t="inlineStr">
        <is>
          <t>Martin Porner</t>
        </is>
      </c>
      <c r="D85" s="4" t="inlineStr">
        <is>
          <t>Základní mzda</t>
        </is>
      </c>
      <c r="E85" s="5" t="n">
        <v>34500</v>
      </c>
      <c r="F85" s="12" t="n">
        <v>-1190</v>
      </c>
      <c r="G85" s="5" t="n">
        <v>33310</v>
      </c>
      <c r="H85" s="5" t="n">
        <v>34500</v>
      </c>
      <c r="I85" s="13" t="n">
        <v>-1190</v>
      </c>
      <c r="J85" s="6" t="inlineStr">
        <is>
          <t>odprac. 168/174.0h</t>
        </is>
      </c>
    </row>
    <row r="86">
      <c r="A86" s="7" t="n"/>
      <c r="B86" s="7" t="n"/>
      <c r="C86" s="7" t="n"/>
      <c r="D86" s="4" t="inlineStr">
        <is>
          <t>Osobní ohodnocení</t>
        </is>
      </c>
      <c r="E86" s="5" t="n">
        <v>641</v>
      </c>
      <c r="F86" s="12" t="n">
        <v>-22</v>
      </c>
      <c r="G86" s="5" t="n">
        <v>619</v>
      </c>
      <c r="H86" s="5" t="n">
        <v>641</v>
      </c>
      <c r="I86" s="13" t="n">
        <v>-22</v>
      </c>
      <c r="J86" s="6" t="inlineStr"/>
    </row>
    <row r="87">
      <c r="A87" s="7" t="n"/>
      <c r="B87" s="7" t="n"/>
      <c r="C87" s="7" t="n"/>
      <c r="D87" s="4" t="inlineStr">
        <is>
          <t>Prémie</t>
        </is>
      </c>
      <c r="E87" s="5" t="n">
        <v>0</v>
      </c>
      <c r="F87" s="5" t="n">
        <v>0</v>
      </c>
      <c r="G87" s="5" t="n">
        <v>0</v>
      </c>
      <c r="H87" s="5" t="n">
        <v>50</v>
      </c>
      <c r="I87" s="13" t="n">
        <v>-50</v>
      </c>
      <c r="J87" s="6" t="inlineStr">
        <is>
          <t>přesčas řešen v prémii</t>
        </is>
      </c>
    </row>
    <row r="88">
      <c r="A88" s="7" t="n"/>
      <c r="B88" s="7" t="n"/>
      <c r="C88" s="7" t="n"/>
      <c r="D88" s="4" t="inlineStr">
        <is>
          <t>Oblečení</t>
        </is>
      </c>
      <c r="E88" s="5" t="n">
        <v>5859</v>
      </c>
      <c r="F88" s="5" t="n">
        <v>0</v>
      </c>
      <c r="G88" s="5" t="n">
        <v>5859</v>
      </c>
      <c r="H88" s="5" t="n">
        <v>0</v>
      </c>
      <c r="I88" s="13" t="n">
        <v>5859</v>
      </c>
      <c r="J88" s="6" t="inlineStr">
        <is>
          <t>pohyb (nekrátí se)</t>
        </is>
      </c>
    </row>
    <row r="89">
      <c r="A89" s="7" t="n"/>
      <c r="B89" s="7" t="n"/>
      <c r="C89" s="7" t="n"/>
      <c r="D89" s="4" t="inlineStr">
        <is>
          <t>Cestovné</t>
        </is>
      </c>
      <c r="E89" s="5" t="n">
        <v>2790</v>
      </c>
      <c r="F89" s="5" t="n">
        <v>0</v>
      </c>
      <c r="G89" s="5" t="n">
        <v>2790</v>
      </c>
      <c r="H89" s="5" t="n">
        <v>0</v>
      </c>
      <c r="I89" s="13" t="n">
        <v>2790</v>
      </c>
      <c r="J89" s="6" t="inlineStr">
        <is>
          <t>pohyb (nekrátí se)</t>
        </is>
      </c>
    </row>
    <row r="90">
      <c r="A90" s="8" t="n"/>
      <c r="B90" s="8" t="n"/>
      <c r="C90" s="8" t="n"/>
      <c r="D90" s="9" t="inlineStr">
        <is>
          <t>CELKEM</t>
        </is>
      </c>
      <c r="E90" s="10" t="n">
        <v>43790</v>
      </c>
      <c r="F90" s="10" t="n">
        <v>-1212</v>
      </c>
      <c r="G90" s="10" t="n">
        <v>42578</v>
      </c>
      <c r="H90" s="10" t="n">
        <v>35191</v>
      </c>
      <c r="I90" s="14" t="n">
        <v>7387</v>
      </c>
      <c r="J90" s="9" t="inlineStr"/>
    </row>
    <row r="91">
      <c r="A91" s="2" t="inlineStr">
        <is>
          <t>EC</t>
        </is>
      </c>
      <c r="B91" s="2" t="inlineStr">
        <is>
          <t>536</t>
        </is>
      </c>
      <c r="C91" s="3" t="inlineStr">
        <is>
          <t>Jan Peřina</t>
        </is>
      </c>
      <c r="D91" s="4" t="inlineStr">
        <is>
          <t>Základní mzda</t>
        </is>
      </c>
      <c r="E91" s="5" t="n">
        <v>35500</v>
      </c>
      <c r="F91" s="12" t="n">
        <v>-1224</v>
      </c>
      <c r="G91" s="5" t="n">
        <v>34276</v>
      </c>
      <c r="H91" s="5" t="n">
        <v>35500</v>
      </c>
      <c r="I91" s="13" t="n">
        <v>-1224</v>
      </c>
      <c r="J91" s="6" t="inlineStr">
        <is>
          <t>odprac. 168/174.0h</t>
        </is>
      </c>
    </row>
    <row r="92">
      <c r="A92" s="7" t="n"/>
      <c r="B92" s="7" t="n"/>
      <c r="C92" s="7" t="n"/>
      <c r="D92" s="4" t="inlineStr">
        <is>
          <t>Osobní ohodnocení</t>
        </is>
      </c>
      <c r="E92" s="5" t="n">
        <v>7500</v>
      </c>
      <c r="F92" s="12" t="n">
        <v>-259</v>
      </c>
      <c r="G92" s="5" t="n">
        <v>7241</v>
      </c>
      <c r="H92" s="5" t="n">
        <v>7500</v>
      </c>
      <c r="I92" s="13" t="n">
        <v>-259</v>
      </c>
      <c r="J92" s="6" t="inlineStr"/>
    </row>
    <row r="93">
      <c r="A93" s="7" t="n"/>
      <c r="B93" s="7" t="n"/>
      <c r="C93" s="7" t="n"/>
      <c r="D93" s="4" t="inlineStr">
        <is>
          <t>Prémie</t>
        </is>
      </c>
      <c r="E93" s="5" t="n">
        <v>0</v>
      </c>
      <c r="F93" s="5" t="n">
        <v>0</v>
      </c>
      <c r="G93" s="5" t="n">
        <v>0</v>
      </c>
      <c r="H93" s="5" t="n">
        <v>20</v>
      </c>
      <c r="I93" s="13" t="n">
        <v>-20</v>
      </c>
      <c r="J93" s="6" t="inlineStr">
        <is>
          <t>přesčas řešen v prémii</t>
        </is>
      </c>
    </row>
    <row r="94">
      <c r="A94" s="8" t="n"/>
      <c r="B94" s="8" t="n"/>
      <c r="C94" s="8" t="n"/>
      <c r="D94" s="9" t="inlineStr">
        <is>
          <t>CELKEM</t>
        </is>
      </c>
      <c r="E94" s="10" t="n">
        <v>43000</v>
      </c>
      <c r="F94" s="10" t="n">
        <v>-1483</v>
      </c>
      <c r="G94" s="10" t="n">
        <v>41517</v>
      </c>
      <c r="H94" s="10" t="n">
        <v>43020</v>
      </c>
      <c r="I94" s="14" t="n">
        <v>-1503</v>
      </c>
      <c r="J94" s="9" t="inlineStr"/>
    </row>
    <row r="95">
      <c r="A95" s="2" t="inlineStr">
        <is>
          <t>ES</t>
        </is>
      </c>
      <c r="B95" s="2" t="inlineStr">
        <is>
          <t>6</t>
        </is>
      </c>
      <c r="C95" s="3" t="inlineStr">
        <is>
          <t>Petr Beneš</t>
        </is>
      </c>
      <c r="D95" s="4" t="inlineStr">
        <is>
          <t>Základní mzda</t>
        </is>
      </c>
      <c r="E95" s="5" t="n">
        <v>68500</v>
      </c>
      <c r="F95" s="12" t="n">
        <v>-8661</v>
      </c>
      <c r="G95" s="5" t="n">
        <v>59839</v>
      </c>
      <c r="H95" s="5" t="n">
        <v>61976</v>
      </c>
      <c r="I95" s="13" t="n">
        <v>-2137</v>
      </c>
      <c r="J95" s="6" t="inlineStr">
        <is>
          <t>odprac. 152/174.0h, +16h náhr.</t>
        </is>
      </c>
    </row>
    <row r="96">
      <c r="A96" s="7" t="n"/>
      <c r="B96" s="7" t="n"/>
      <c r="C96" s="7" t="n"/>
      <c r="D96" s="4" t="inlineStr">
        <is>
          <t>Osobní ohodnocení</t>
        </is>
      </c>
      <c r="E96" s="5" t="n">
        <v>2144</v>
      </c>
      <c r="F96" s="12" t="n">
        <v>-271</v>
      </c>
      <c r="G96" s="5" t="n">
        <v>1873</v>
      </c>
      <c r="H96" s="5" t="n">
        <v>1940</v>
      </c>
      <c r="I96" s="13" t="n">
        <v>-67</v>
      </c>
      <c r="J96" s="6" t="inlineStr"/>
    </row>
    <row r="97">
      <c r="A97" s="7" t="n"/>
      <c r="B97" s="7" t="n"/>
      <c r="C97" s="7" t="n"/>
      <c r="D97" s="4" t="inlineStr">
        <is>
          <t>Prémie</t>
        </is>
      </c>
      <c r="E97" s="5" t="n">
        <v>160</v>
      </c>
      <c r="F97" s="5" t="n">
        <v>0</v>
      </c>
      <c r="G97" s="5" t="n">
        <v>160</v>
      </c>
      <c r="H97" s="5" t="n">
        <v>160</v>
      </c>
      <c r="I97" s="5" t="n">
        <v>0</v>
      </c>
      <c r="J97" s="6" t="inlineStr">
        <is>
          <t>přesčas řešen v prémii</t>
        </is>
      </c>
    </row>
    <row r="98">
      <c r="A98" s="7" t="n"/>
      <c r="B98" s="7" t="n"/>
      <c r="C98" s="7" t="n"/>
      <c r="D98" s="4" t="inlineStr">
        <is>
          <t>Oblečení</t>
        </is>
      </c>
      <c r="E98" s="5" t="n">
        <v>2071</v>
      </c>
      <c r="F98" s="5" t="n">
        <v>0</v>
      </c>
      <c r="G98" s="5" t="n">
        <v>2071</v>
      </c>
      <c r="H98" s="5" t="n">
        <v>0</v>
      </c>
      <c r="I98" s="13" t="n">
        <v>2071</v>
      </c>
      <c r="J98" s="6" t="inlineStr">
        <is>
          <t>pohyb (nekrátí se)</t>
        </is>
      </c>
    </row>
    <row r="99">
      <c r="A99" s="7" t="n"/>
      <c r="B99" s="7" t="n"/>
      <c r="C99" s="7" t="n"/>
      <c r="D99" s="4" t="inlineStr">
        <is>
          <t>Home office</t>
        </is>
      </c>
      <c r="E99" s="5" t="n">
        <v>1871</v>
      </c>
      <c r="F99" s="5" t="n">
        <v>0</v>
      </c>
      <c r="G99" s="5" t="n">
        <v>1871</v>
      </c>
      <c r="H99" s="5" t="n">
        <v>0</v>
      </c>
      <c r="I99" s="13" t="n">
        <v>1871</v>
      </c>
      <c r="J99" s="6" t="inlineStr">
        <is>
          <t>pohyb (nekrátí se)</t>
        </is>
      </c>
    </row>
    <row r="100">
      <c r="A100" s="8" t="n"/>
      <c r="B100" s="8" t="n"/>
      <c r="C100" s="8" t="n"/>
      <c r="D100" s="9" t="inlineStr">
        <is>
          <t>CELKEM</t>
        </is>
      </c>
      <c r="E100" s="10" t="n">
        <v>74746</v>
      </c>
      <c r="F100" s="10" t="n">
        <v>-8932</v>
      </c>
      <c r="G100" s="10" t="n">
        <v>65814</v>
      </c>
      <c r="H100" s="10" t="n">
        <v>64076</v>
      </c>
      <c r="I100" s="14" t="n">
        <v>1738</v>
      </c>
      <c r="J100" s="9" t="inlineStr"/>
    </row>
    <row r="101">
      <c r="A101" s="2" t="inlineStr">
        <is>
          <t>ES</t>
        </is>
      </c>
      <c r="B101" s="2" t="inlineStr">
        <is>
          <t>16</t>
        </is>
      </c>
      <c r="C101" s="3" t="inlineStr">
        <is>
          <t>Šárka Novotná</t>
        </is>
      </c>
      <c r="D101" s="4" t="inlineStr">
        <is>
          <t>Základní mzda</t>
        </is>
      </c>
      <c r="E101" s="5" t="n">
        <v>35500</v>
      </c>
      <c r="F101" s="12" t="n">
        <v>-1224</v>
      </c>
      <c r="G101" s="5" t="n">
        <v>34276</v>
      </c>
      <c r="H101" s="5" t="n">
        <v>35500</v>
      </c>
      <c r="I101" s="13" t="n">
        <v>-1224</v>
      </c>
      <c r="J101" s="6" t="inlineStr">
        <is>
          <t>odprac. 147/152.2h</t>
        </is>
      </c>
    </row>
    <row r="102">
      <c r="A102" s="7" t="n"/>
      <c r="B102" s="7" t="n"/>
      <c r="C102" s="7" t="n"/>
      <c r="D102" s="4" t="inlineStr">
        <is>
          <t>Osobní ohodnocení</t>
        </is>
      </c>
      <c r="E102" s="5" t="n">
        <v>7905</v>
      </c>
      <c r="F102" s="12" t="n">
        <v>-273</v>
      </c>
      <c r="G102" s="5" t="n">
        <v>7632</v>
      </c>
      <c r="H102" s="5" t="n">
        <v>1967</v>
      </c>
      <c r="I102" s="13" t="n">
        <v>5665</v>
      </c>
      <c r="J102" s="6" t="inlineStr"/>
    </row>
    <row r="103">
      <c r="A103" s="7" t="n"/>
      <c r="B103" s="7" t="n"/>
      <c r="C103" s="7" t="n"/>
      <c r="D103" s="4" t="inlineStr">
        <is>
          <t>Prémie</t>
        </is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6" t="inlineStr">
        <is>
          <t>přesčas řešen v prémii</t>
        </is>
      </c>
    </row>
    <row r="104">
      <c r="A104" s="7" t="n"/>
      <c r="B104" s="7" t="n"/>
      <c r="C104" s="7" t="n"/>
      <c r="D104" s="4" t="inlineStr">
        <is>
          <t>Oblečení</t>
        </is>
      </c>
      <c r="E104" s="5" t="n">
        <v>2289</v>
      </c>
      <c r="F104" s="5" t="n">
        <v>0</v>
      </c>
      <c r="G104" s="5" t="n">
        <v>2289</v>
      </c>
      <c r="H104" s="5" t="n">
        <v>0</v>
      </c>
      <c r="I104" s="13" t="n">
        <v>2289</v>
      </c>
      <c r="J104" s="6" t="inlineStr">
        <is>
          <t>pohyb (nekrátí se)</t>
        </is>
      </c>
    </row>
    <row r="105">
      <c r="A105" s="7" t="n"/>
      <c r="B105" s="7" t="n"/>
      <c r="C105" s="7" t="n"/>
      <c r="D105" s="4" t="inlineStr">
        <is>
          <t>Home office</t>
        </is>
      </c>
      <c r="E105" s="5" t="n">
        <v>1806</v>
      </c>
      <c r="F105" s="5" t="n">
        <v>0</v>
      </c>
      <c r="G105" s="5" t="n">
        <v>1806</v>
      </c>
      <c r="H105" s="5" t="n">
        <v>0</v>
      </c>
      <c r="I105" s="13" t="n">
        <v>1806</v>
      </c>
      <c r="J105" s="6" t="inlineStr">
        <is>
          <t>pohyb (nekrátí se)</t>
        </is>
      </c>
    </row>
    <row r="106">
      <c r="A106" s="7" t="n"/>
      <c r="B106" s="7" t="n"/>
      <c r="C106" s="7" t="n"/>
      <c r="D106" s="4" t="inlineStr">
        <is>
          <t>Tel.srážka</t>
        </is>
      </c>
      <c r="E106" s="5" t="n">
        <v>-83</v>
      </c>
      <c r="F106" s="5" t="n">
        <v>0</v>
      </c>
      <c r="G106" s="5" t="n">
        <v>-83</v>
      </c>
      <c r="H106" s="5" t="n">
        <v>0</v>
      </c>
      <c r="I106" s="13" t="n">
        <v>-83</v>
      </c>
      <c r="J106" s="6" t="inlineStr">
        <is>
          <t>pohyb (nekrátí se)</t>
        </is>
      </c>
    </row>
    <row r="107">
      <c r="A107" s="8" t="n"/>
      <c r="B107" s="8" t="n"/>
      <c r="C107" s="8" t="n"/>
      <c r="D107" s="9" t="inlineStr">
        <is>
          <t>CELKEM</t>
        </is>
      </c>
      <c r="E107" s="10" t="n">
        <v>47417</v>
      </c>
      <c r="F107" s="10" t="n">
        <v>-1497</v>
      </c>
      <c r="G107" s="10" t="n">
        <v>45920</v>
      </c>
      <c r="H107" s="10" t="n">
        <v>37467</v>
      </c>
      <c r="I107" s="14" t="n">
        <v>8453</v>
      </c>
      <c r="J107" s="9" t="inlineStr"/>
    </row>
    <row r="108">
      <c r="A108" s="2" t="inlineStr">
        <is>
          <t>ES</t>
        </is>
      </c>
      <c r="B108" s="2" t="inlineStr">
        <is>
          <t>21</t>
        </is>
      </c>
      <c r="C108" s="3" t="inlineStr">
        <is>
          <t>Kristýna Marešová</t>
        </is>
      </c>
      <c r="D108" s="4" t="inlineStr">
        <is>
          <t>Základní mzda</t>
        </is>
      </c>
      <c r="E108" s="5" t="n">
        <v>48500</v>
      </c>
      <c r="F108" s="12" t="n">
        <v>-1672</v>
      </c>
      <c r="G108" s="5" t="n">
        <v>46828</v>
      </c>
      <c r="H108" s="5" t="n">
        <v>48500</v>
      </c>
      <c r="I108" s="13" t="n">
        <v>-1672</v>
      </c>
      <c r="J108" s="6" t="inlineStr">
        <is>
          <t>odprac. 168/174.0h</t>
        </is>
      </c>
    </row>
    <row r="109">
      <c r="A109" s="7" t="n"/>
      <c r="B109" s="7" t="n"/>
      <c r="C109" s="7" t="n"/>
      <c r="D109" s="4" t="inlineStr">
        <is>
          <t>Osobní ohodnocení</t>
        </is>
      </c>
      <c r="E109" s="5" t="n">
        <v>3147</v>
      </c>
      <c r="F109" s="12" t="n">
        <v>-109</v>
      </c>
      <c r="G109" s="5" t="n">
        <v>3038</v>
      </c>
      <c r="H109" s="5" t="n">
        <v>3147</v>
      </c>
      <c r="I109" s="13" t="n">
        <v>-109</v>
      </c>
      <c r="J109" s="6" t="inlineStr"/>
    </row>
    <row r="110">
      <c r="A110" s="7" t="n"/>
      <c r="B110" s="7" t="n"/>
      <c r="C110" s="7" t="n"/>
      <c r="D110" s="4" t="inlineStr">
        <is>
          <t>Prémie</t>
        </is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6" t="inlineStr">
        <is>
          <t>přesčas řešen v prémii</t>
        </is>
      </c>
    </row>
    <row r="111">
      <c r="A111" s="7" t="n"/>
      <c r="B111" s="7" t="n"/>
      <c r="C111" s="7" t="n"/>
      <c r="D111" s="4" t="inlineStr">
        <is>
          <t>Oblečení</t>
        </is>
      </c>
      <c r="E111" s="5" t="n">
        <v>2289</v>
      </c>
      <c r="F111" s="5" t="n">
        <v>0</v>
      </c>
      <c r="G111" s="5" t="n">
        <v>2289</v>
      </c>
      <c r="H111" s="5" t="n">
        <v>0</v>
      </c>
      <c r="I111" s="13" t="n">
        <v>2289</v>
      </c>
      <c r="J111" s="6" t="inlineStr">
        <is>
          <t>pohyb (nekrátí se)</t>
        </is>
      </c>
    </row>
    <row r="112">
      <c r="A112" s="7" t="n"/>
      <c r="B112" s="7" t="n"/>
      <c r="C112" s="7" t="n"/>
      <c r="D112" s="4" t="inlineStr">
        <is>
          <t>Home office</t>
        </is>
      </c>
      <c r="E112" s="5" t="n">
        <v>2064</v>
      </c>
      <c r="F112" s="5" t="n">
        <v>0</v>
      </c>
      <c r="G112" s="5" t="n">
        <v>2064</v>
      </c>
      <c r="H112" s="5" t="n">
        <v>0</v>
      </c>
      <c r="I112" s="13" t="n">
        <v>2064</v>
      </c>
      <c r="J112" s="6" t="inlineStr">
        <is>
          <t>pohyb (nekrátí se)</t>
        </is>
      </c>
    </row>
    <row r="113">
      <c r="A113" s="7" t="n"/>
      <c r="B113" s="7" t="n"/>
      <c r="C113" s="7" t="n"/>
      <c r="D113" s="4" t="inlineStr">
        <is>
          <t>Tel.srážka</t>
        </is>
      </c>
      <c r="E113" s="5" t="n">
        <v>-267</v>
      </c>
      <c r="F113" s="5" t="n">
        <v>0</v>
      </c>
      <c r="G113" s="5" t="n">
        <v>-267</v>
      </c>
      <c r="H113" s="5" t="n">
        <v>0</v>
      </c>
      <c r="I113" s="13" t="n">
        <v>-267</v>
      </c>
      <c r="J113" s="6" t="inlineStr">
        <is>
          <t>pohyb (nekrátí se)</t>
        </is>
      </c>
    </row>
    <row r="114">
      <c r="A114" s="8" t="n"/>
      <c r="B114" s="8" t="n"/>
      <c r="C114" s="8" t="n"/>
      <c r="D114" s="9" t="inlineStr">
        <is>
          <t>CELKEM</t>
        </is>
      </c>
      <c r="E114" s="10" t="n">
        <v>55733</v>
      </c>
      <c r="F114" s="10" t="n">
        <v>-1781</v>
      </c>
      <c r="G114" s="10" t="n">
        <v>53952</v>
      </c>
      <c r="H114" s="10" t="n">
        <v>51647</v>
      </c>
      <c r="I114" s="14" t="n">
        <v>2305</v>
      </c>
      <c r="J114" s="9" t="inlineStr"/>
    </row>
    <row r="115">
      <c r="A115" s="2" t="inlineStr">
        <is>
          <t>ES</t>
        </is>
      </c>
      <c r="B115" s="2" t="inlineStr">
        <is>
          <t>29</t>
        </is>
      </c>
      <c r="C115" s="3" t="inlineStr">
        <is>
          <t>Martin Pašek</t>
        </is>
      </c>
      <c r="D115" s="4" t="inlineStr">
        <is>
          <t>Základní mzda</t>
        </is>
      </c>
      <c r="E115" s="5" t="n">
        <v>60000</v>
      </c>
      <c r="F115" s="12" t="n">
        <v>-4828</v>
      </c>
      <c r="G115" s="5" t="n">
        <v>55172</v>
      </c>
      <c r="H115" s="5" t="n">
        <v>57143</v>
      </c>
      <c r="I115" s="13" t="n">
        <v>-1971</v>
      </c>
      <c r="J115" s="6" t="inlineStr">
        <is>
          <t>odprac. 160/174.0h, +8h náhr.</t>
        </is>
      </c>
    </row>
    <row r="116">
      <c r="A116" s="7" t="n"/>
      <c r="B116" s="7" t="n"/>
      <c r="C116" s="7" t="n"/>
      <c r="D116" s="4" t="inlineStr">
        <is>
          <t>Osobní ohodnocení</t>
        </is>
      </c>
      <c r="E116" s="5" t="n">
        <v>3157</v>
      </c>
      <c r="F116" s="12" t="n">
        <v>-254</v>
      </c>
      <c r="G116" s="5" t="n">
        <v>2903</v>
      </c>
      <c r="H116" s="5" t="n">
        <v>7769</v>
      </c>
      <c r="I116" s="13" t="n">
        <v>-4866</v>
      </c>
      <c r="J116" s="6" t="inlineStr"/>
    </row>
    <row r="117">
      <c r="A117" s="7" t="n"/>
      <c r="B117" s="7" t="n"/>
      <c r="C117" s="7" t="n"/>
      <c r="D117" s="4" t="inlineStr">
        <is>
          <t>Prémie</t>
        </is>
      </c>
      <c r="E117" s="5" t="n">
        <v>11616</v>
      </c>
      <c r="F117" s="5" t="n">
        <v>0</v>
      </c>
      <c r="G117" s="5" t="n">
        <v>11616</v>
      </c>
      <c r="H117" s="5" t="n">
        <v>1616</v>
      </c>
      <c r="I117" s="13" t="n">
        <v>10000</v>
      </c>
      <c r="J117" s="6" t="inlineStr">
        <is>
          <t>přesčas řešen v prémii</t>
        </is>
      </c>
    </row>
    <row r="118">
      <c r="A118" s="7" t="n"/>
      <c r="B118" s="7" t="n"/>
      <c r="C118" s="7" t="n"/>
      <c r="D118" s="4" t="inlineStr">
        <is>
          <t>Oblečení</t>
        </is>
      </c>
      <c r="E118" s="5" t="n">
        <v>2180</v>
      </c>
      <c r="F118" s="5" t="n">
        <v>0</v>
      </c>
      <c r="G118" s="5" t="n">
        <v>2180</v>
      </c>
      <c r="H118" s="5" t="n">
        <v>0</v>
      </c>
      <c r="I118" s="13" t="n">
        <v>2180</v>
      </c>
      <c r="J118" s="6" t="inlineStr">
        <is>
          <t>pohyb (nekrátí se)</t>
        </is>
      </c>
    </row>
    <row r="119">
      <c r="A119" s="7" t="n"/>
      <c r="B119" s="7" t="n"/>
      <c r="C119" s="7" t="n"/>
      <c r="D119" s="4" t="inlineStr">
        <is>
          <t>Home office</t>
        </is>
      </c>
      <c r="E119" s="5" t="n">
        <v>1957</v>
      </c>
      <c r="F119" s="5" t="n">
        <v>0</v>
      </c>
      <c r="G119" s="5" t="n">
        <v>1957</v>
      </c>
      <c r="H119" s="5" t="n">
        <v>0</v>
      </c>
      <c r="I119" s="13" t="n">
        <v>1957</v>
      </c>
      <c r="J119" s="6" t="inlineStr">
        <is>
          <t>pohyb (nekrátí se)</t>
        </is>
      </c>
    </row>
    <row r="120">
      <c r="A120" s="8" t="n"/>
      <c r="B120" s="8" t="n"/>
      <c r="C120" s="8" t="n"/>
      <c r="D120" s="9" t="inlineStr">
        <is>
          <t>CELKEM</t>
        </is>
      </c>
      <c r="E120" s="10" t="n">
        <v>78910</v>
      </c>
      <c r="F120" s="10" t="n">
        <v>-5082</v>
      </c>
      <c r="G120" s="10" t="n">
        <v>73828</v>
      </c>
      <c r="H120" s="10" t="n">
        <v>66528</v>
      </c>
      <c r="I120" s="14" t="n">
        <v>7300</v>
      </c>
      <c r="J120" s="9" t="inlineStr"/>
    </row>
    <row r="121">
      <c r="A121" s="2" t="inlineStr">
        <is>
          <t>ES</t>
        </is>
      </c>
      <c r="B121" s="2" t="inlineStr">
        <is>
          <t>41</t>
        </is>
      </c>
      <c r="C121" s="3" t="inlineStr">
        <is>
          <t>Marti Pašek</t>
        </is>
      </c>
      <c r="D121" s="4" t="inlineStr">
        <is>
          <t>Základní mzda</t>
        </is>
      </c>
      <c r="E121" s="5" t="n">
        <v>0</v>
      </c>
      <c r="F121" s="5" t="n">
        <v>0</v>
      </c>
      <c r="G121" s="5" t="n">
        <v>0</v>
      </c>
      <c r="H121" s="5" t="n">
        <v>0</v>
      </c>
      <c r="I121" s="5" t="n">
        <v>0</v>
      </c>
      <c r="J121" s="6" t="inlineStr">
        <is>
          <t>bez hodin (variabilní)</t>
        </is>
      </c>
    </row>
    <row r="122">
      <c r="A122" s="7" t="n"/>
      <c r="B122" s="7" t="n"/>
      <c r="C122" s="7" t="n"/>
      <c r="D122" s="4" t="inlineStr">
        <is>
          <t>Osobní ohodnocení</t>
        </is>
      </c>
      <c r="E122" s="5" t="n">
        <v>0</v>
      </c>
      <c r="F122" s="5" t="n">
        <v>0</v>
      </c>
      <c r="G122" s="5" t="n">
        <v>0</v>
      </c>
      <c r="H122" s="5" t="n">
        <v>0</v>
      </c>
      <c r="I122" s="5" t="n">
        <v>0</v>
      </c>
      <c r="J122" s="6" t="inlineStr"/>
    </row>
    <row r="123">
      <c r="A123" s="7" t="n"/>
      <c r="B123" s="7" t="n"/>
      <c r="C123" s="7" t="n"/>
      <c r="D123" s="4" t="inlineStr">
        <is>
          <t>Prémie</t>
        </is>
      </c>
      <c r="E123" s="5" t="n">
        <v>0</v>
      </c>
      <c r="F123" s="5" t="n">
        <v>0</v>
      </c>
      <c r="G123" s="5" t="n">
        <v>0</v>
      </c>
      <c r="H123" s="5" t="n">
        <v>0</v>
      </c>
      <c r="I123" s="5" t="n">
        <v>0</v>
      </c>
      <c r="J123" s="6" t="inlineStr">
        <is>
          <t>přesčas řešen v prémii</t>
        </is>
      </c>
    </row>
    <row r="124">
      <c r="A124" s="7" t="n"/>
      <c r="B124" s="7" t="n"/>
      <c r="C124" s="7" t="n"/>
      <c r="D124" s="4" t="inlineStr">
        <is>
          <t>Odměna jednatele</t>
        </is>
      </c>
      <c r="E124" s="5" t="n">
        <v>90800</v>
      </c>
      <c r="F124" s="5" t="n">
        <v>0</v>
      </c>
      <c r="G124" s="5" t="n">
        <v>90800</v>
      </c>
      <c r="H124" s="5" t="n">
        <v>90800</v>
      </c>
      <c r="I124" s="5" t="n">
        <v>0</v>
      </c>
      <c r="J124" s="6" t="inlineStr">
        <is>
          <t>doplněno</t>
        </is>
      </c>
    </row>
    <row r="125">
      <c r="A125" s="8" t="n"/>
      <c r="B125" s="8" t="n"/>
      <c r="C125" s="8" t="n"/>
      <c r="D125" s="9" t="inlineStr">
        <is>
          <t>CELKEM</t>
        </is>
      </c>
      <c r="E125" s="10" t="n">
        <v>90800</v>
      </c>
      <c r="F125" s="10" t="n">
        <v>0</v>
      </c>
      <c r="G125" s="10" t="n">
        <v>90800</v>
      </c>
      <c r="H125" s="10" t="n">
        <v>90800</v>
      </c>
      <c r="I125" s="11" t="n">
        <v>0</v>
      </c>
      <c r="J125" s="9" t="inlineStr"/>
    </row>
    <row r="126">
      <c r="A126" s="2" t="inlineStr">
        <is>
          <t>ES</t>
        </is>
      </c>
      <c r="B126" s="2" t="inlineStr">
        <is>
          <t>42</t>
        </is>
      </c>
      <c r="C126" s="3" t="inlineStr">
        <is>
          <t>Tereza Veverková</t>
        </is>
      </c>
      <c r="D126" s="4" t="inlineStr">
        <is>
          <t>Základní mzda</t>
        </is>
      </c>
      <c r="E126" s="5" t="n">
        <v>14600</v>
      </c>
      <c r="F126" s="12" t="n">
        <v>-503</v>
      </c>
      <c r="G126" s="5" t="n">
        <v>14097</v>
      </c>
      <c r="H126" s="5" t="n">
        <v>14600</v>
      </c>
      <c r="I126" s="13" t="n">
        <v>-503</v>
      </c>
      <c r="J126" s="6" t="inlineStr">
        <is>
          <t>odprac. 84/87.0h</t>
        </is>
      </c>
    </row>
    <row r="127">
      <c r="A127" s="7" t="n"/>
      <c r="B127" s="7" t="n"/>
      <c r="C127" s="7" t="n"/>
      <c r="D127" s="4" t="inlineStr">
        <is>
          <t>Osobní ohodnocení</t>
        </is>
      </c>
      <c r="E127" s="5" t="n">
        <v>25700</v>
      </c>
      <c r="F127" s="12" t="n">
        <v>-886</v>
      </c>
      <c r="G127" s="5" t="n">
        <v>24814</v>
      </c>
      <c r="H127" s="5" t="n">
        <v>5550</v>
      </c>
      <c r="I127" s="13" t="n">
        <v>19264</v>
      </c>
      <c r="J127" s="6" t="inlineStr"/>
    </row>
    <row r="128">
      <c r="A128" s="7" t="n"/>
      <c r="B128" s="7" t="n"/>
      <c r="C128" s="7" t="n"/>
      <c r="D128" s="4" t="inlineStr">
        <is>
          <t>Prémie</t>
        </is>
      </c>
      <c r="E128" s="5" t="n">
        <v>1409</v>
      </c>
      <c r="F128" s="5" t="n">
        <v>0</v>
      </c>
      <c r="G128" s="5" t="n">
        <v>1409</v>
      </c>
      <c r="H128" s="5" t="n">
        <v>1409</v>
      </c>
      <c r="I128" s="5" t="n">
        <v>0</v>
      </c>
      <c r="J128" s="6" t="inlineStr">
        <is>
          <t>přesčas řešen v prémii</t>
        </is>
      </c>
    </row>
    <row r="129">
      <c r="A129" s="8" t="n"/>
      <c r="B129" s="8" t="n"/>
      <c r="C129" s="8" t="n"/>
      <c r="D129" s="9" t="inlineStr">
        <is>
          <t>CELKEM</t>
        </is>
      </c>
      <c r="E129" s="10" t="n">
        <v>41709</v>
      </c>
      <c r="F129" s="10" t="n">
        <v>-1389</v>
      </c>
      <c r="G129" s="10" t="n">
        <v>40320</v>
      </c>
      <c r="H129" s="10" t="n">
        <v>21559</v>
      </c>
      <c r="I129" s="14" t="n">
        <v>18761</v>
      </c>
      <c r="J129" s="9" t="inlineStr"/>
    </row>
    <row r="130">
      <c r="A130" s="2" t="inlineStr">
        <is>
          <t>ES</t>
        </is>
      </c>
      <c r="B130" s="2" t="inlineStr">
        <is>
          <t>46</t>
        </is>
      </c>
      <c r="C130" s="3" t="inlineStr">
        <is>
          <t>Lukáš Horký</t>
        </is>
      </c>
      <c r="D130" s="4" t="inlineStr">
        <is>
          <t>Základní mzda</t>
        </is>
      </c>
      <c r="E130" s="5" t="n">
        <v>47300</v>
      </c>
      <c r="F130" s="12" t="n">
        <v>-9243</v>
      </c>
      <c r="G130" s="5" t="n">
        <v>38057</v>
      </c>
      <c r="H130" s="5" t="n">
        <v>39417</v>
      </c>
      <c r="I130" s="13" t="n">
        <v>-1360</v>
      </c>
      <c r="J130" s="6" t="inlineStr">
        <is>
          <t>odprac. 140/174.0h, +28h náhr.</t>
        </is>
      </c>
    </row>
    <row r="131">
      <c r="A131" s="7" t="n"/>
      <c r="B131" s="7" t="n"/>
      <c r="C131" s="7" t="n"/>
      <c r="D131" s="4" t="inlineStr">
        <is>
          <t>Osobní ohodnocení</t>
        </is>
      </c>
      <c r="E131" s="5" t="n">
        <v>3144</v>
      </c>
      <c r="F131" s="12" t="n">
        <v>-614</v>
      </c>
      <c r="G131" s="5" t="n">
        <v>2530</v>
      </c>
      <c r="H131" s="5" t="n">
        <v>2197</v>
      </c>
      <c r="I131" s="13" t="n">
        <v>333</v>
      </c>
      <c r="J131" s="6" t="inlineStr"/>
    </row>
    <row r="132">
      <c r="A132" s="7" t="n"/>
      <c r="B132" s="7" t="n"/>
      <c r="C132" s="7" t="n"/>
      <c r="D132" s="4" t="inlineStr">
        <is>
          <t>Prémie</t>
        </is>
      </c>
      <c r="E132" s="5" t="n">
        <v>120</v>
      </c>
      <c r="F132" s="5" t="n">
        <v>0</v>
      </c>
      <c r="G132" s="5" t="n">
        <v>120</v>
      </c>
      <c r="H132" s="5" t="n">
        <v>120</v>
      </c>
      <c r="I132" s="5" t="n">
        <v>0</v>
      </c>
      <c r="J132" s="6" t="inlineStr">
        <is>
          <t>přesčas řešen v prémii</t>
        </is>
      </c>
    </row>
    <row r="133">
      <c r="A133" s="7" t="n"/>
      <c r="B133" s="7" t="n"/>
      <c r="C133" s="7" t="n"/>
      <c r="D133" s="4" t="inlineStr">
        <is>
          <t>Oblečení</t>
        </is>
      </c>
      <c r="E133" s="5" t="n">
        <v>1880</v>
      </c>
      <c r="F133" s="5" t="n">
        <v>0</v>
      </c>
      <c r="G133" s="5" t="n">
        <v>1880</v>
      </c>
      <c r="H133" s="5" t="n">
        <v>0</v>
      </c>
      <c r="I133" s="13" t="n">
        <v>1880</v>
      </c>
      <c r="J133" s="6" t="inlineStr">
        <is>
          <t>pohyb (nekrátí se)</t>
        </is>
      </c>
    </row>
    <row r="134">
      <c r="A134" s="7" t="n"/>
      <c r="B134" s="7" t="n"/>
      <c r="C134" s="7" t="n"/>
      <c r="D134" s="4" t="inlineStr">
        <is>
          <t>Home office</t>
        </is>
      </c>
      <c r="E134" s="5" t="n">
        <v>1699</v>
      </c>
      <c r="F134" s="5" t="n">
        <v>0</v>
      </c>
      <c r="G134" s="5" t="n">
        <v>1699</v>
      </c>
      <c r="H134" s="5" t="n">
        <v>0</v>
      </c>
      <c r="I134" s="13" t="n">
        <v>1699</v>
      </c>
      <c r="J134" s="6" t="inlineStr">
        <is>
          <t>pohyb (nekrátí se)</t>
        </is>
      </c>
    </row>
    <row r="135">
      <c r="A135" s="7" t="n"/>
      <c r="B135" s="7" t="n"/>
      <c r="C135" s="7" t="n"/>
      <c r="D135" s="4" t="inlineStr">
        <is>
          <t>Tel.srážka</t>
        </is>
      </c>
      <c r="E135" s="5" t="n">
        <v>-365</v>
      </c>
      <c r="F135" s="5" t="n">
        <v>0</v>
      </c>
      <c r="G135" s="5" t="n">
        <v>-365</v>
      </c>
      <c r="H135" s="5" t="n">
        <v>0</v>
      </c>
      <c r="I135" s="13" t="n">
        <v>-365</v>
      </c>
      <c r="J135" s="6" t="inlineStr">
        <is>
          <t>pohyb (nekrátí se)</t>
        </is>
      </c>
    </row>
    <row r="136">
      <c r="A136" s="8" t="n"/>
      <c r="B136" s="8" t="n"/>
      <c r="C136" s="8" t="n"/>
      <c r="D136" s="9" t="inlineStr">
        <is>
          <t>CELKEM</t>
        </is>
      </c>
      <c r="E136" s="10" t="n">
        <v>53778</v>
      </c>
      <c r="F136" s="10" t="n">
        <v>-9857</v>
      </c>
      <c r="G136" s="10" t="n">
        <v>43921</v>
      </c>
      <c r="H136" s="10" t="n">
        <v>41734</v>
      </c>
      <c r="I136" s="14" t="n">
        <v>2187</v>
      </c>
      <c r="J136" s="9" t="inlineStr"/>
    </row>
    <row r="137">
      <c r="A137" s="2" t="inlineStr">
        <is>
          <t>ES</t>
        </is>
      </c>
      <c r="B137" s="2" t="inlineStr">
        <is>
          <t>48</t>
        </is>
      </c>
      <c r="C137" s="3" t="inlineStr">
        <is>
          <t>Zdeněk Čepický</t>
        </is>
      </c>
      <c r="D137" s="4" t="inlineStr">
        <is>
          <t>Základní mzda</t>
        </is>
      </c>
      <c r="E137" s="5" t="n">
        <v>65500</v>
      </c>
      <c r="F137" s="12" t="n">
        <v>-2259</v>
      </c>
      <c r="G137" s="5" t="n">
        <v>63241</v>
      </c>
      <c r="H137" s="5" t="n">
        <v>65500</v>
      </c>
      <c r="I137" s="13" t="n">
        <v>-2259</v>
      </c>
      <c r="J137" s="6" t="inlineStr">
        <is>
          <t>odprac. 168/174.0h</t>
        </is>
      </c>
    </row>
    <row r="138">
      <c r="A138" s="7" t="n"/>
      <c r="B138" s="7" t="n"/>
      <c r="C138" s="7" t="n"/>
      <c r="D138" s="4" t="inlineStr">
        <is>
          <t>Osobní ohodnocení</t>
        </is>
      </c>
      <c r="E138" s="5" t="n">
        <v>2147</v>
      </c>
      <c r="F138" s="12" t="n">
        <v>-74</v>
      </c>
      <c r="G138" s="5" t="n">
        <v>2073</v>
      </c>
      <c r="H138" s="5" t="n">
        <v>2147</v>
      </c>
      <c r="I138" s="13" t="n">
        <v>-74</v>
      </c>
      <c r="J138" s="6" t="inlineStr"/>
    </row>
    <row r="139">
      <c r="A139" s="7" t="n"/>
      <c r="B139" s="7" t="n"/>
      <c r="C139" s="7" t="n"/>
      <c r="D139" s="4" t="inlineStr">
        <is>
          <t>Prémie</t>
        </is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6" t="inlineStr">
        <is>
          <t>přesčas řešen v prémii</t>
        </is>
      </c>
    </row>
    <row r="140">
      <c r="A140" s="7" t="n"/>
      <c r="B140" s="7" t="n"/>
      <c r="C140" s="7" t="n"/>
      <c r="D140" s="4" t="inlineStr">
        <is>
          <t>Oblečení</t>
        </is>
      </c>
      <c r="E140" s="5" t="n">
        <v>2289</v>
      </c>
      <c r="F140" s="5" t="n">
        <v>0</v>
      </c>
      <c r="G140" s="5" t="n">
        <v>2289</v>
      </c>
      <c r="H140" s="5" t="n">
        <v>0</v>
      </c>
      <c r="I140" s="13" t="n">
        <v>2289</v>
      </c>
      <c r="J140" s="6" t="inlineStr">
        <is>
          <t>pohyb (nekrátí se)</t>
        </is>
      </c>
    </row>
    <row r="141">
      <c r="A141" s="7" t="n"/>
      <c r="B141" s="7" t="n"/>
      <c r="C141" s="7" t="n"/>
      <c r="D141" s="4" t="inlineStr">
        <is>
          <t>Home office</t>
        </is>
      </c>
      <c r="E141" s="5" t="n">
        <v>2064</v>
      </c>
      <c r="F141" s="5" t="n">
        <v>0</v>
      </c>
      <c r="G141" s="5" t="n">
        <v>2064</v>
      </c>
      <c r="H141" s="5" t="n">
        <v>0</v>
      </c>
      <c r="I141" s="13" t="n">
        <v>2064</v>
      </c>
      <c r="J141" s="6" t="inlineStr">
        <is>
          <t>pohyb (nekrátí se)</t>
        </is>
      </c>
    </row>
    <row r="142">
      <c r="A142" s="8" t="n"/>
      <c r="B142" s="8" t="n"/>
      <c r="C142" s="8" t="n"/>
      <c r="D142" s="9" t="inlineStr">
        <is>
          <t>CELKEM</t>
        </is>
      </c>
      <c r="E142" s="10" t="n">
        <v>72000</v>
      </c>
      <c r="F142" s="10" t="n">
        <v>-2333</v>
      </c>
      <c r="G142" s="10" t="n">
        <v>69667</v>
      </c>
      <c r="H142" s="10" t="n">
        <v>67647</v>
      </c>
      <c r="I142" s="14" t="n">
        <v>2020</v>
      </c>
      <c r="J142" s="9" t="inlineStr"/>
    </row>
    <row r="143">
      <c r="A143" s="2" t="inlineStr">
        <is>
          <t>ES</t>
        </is>
      </c>
      <c r="B143" s="2" t="inlineStr">
        <is>
          <t>49</t>
        </is>
      </c>
      <c r="C143" s="3" t="inlineStr">
        <is>
          <t>Petra Dvořáková</t>
        </is>
      </c>
      <c r="D143" s="4" t="inlineStr">
        <is>
          <t>Základní mzda</t>
        </is>
      </c>
      <c r="E143" s="5" t="n">
        <v>26700</v>
      </c>
      <c r="F143" s="12" t="n">
        <v>-1534</v>
      </c>
      <c r="G143" s="5" t="n">
        <v>25166</v>
      </c>
      <c r="H143" s="5" t="n">
        <v>26064</v>
      </c>
      <c r="I143" s="13" t="n">
        <v>-898</v>
      </c>
      <c r="J143" s="6" t="inlineStr">
        <is>
          <t>odprac. 123/130.5h, +3h náhr.</t>
        </is>
      </c>
    </row>
    <row r="144">
      <c r="A144" s="7" t="n"/>
      <c r="B144" s="7" t="n"/>
      <c r="C144" s="7" t="n"/>
      <c r="D144" s="4" t="inlineStr">
        <is>
          <t>Osobní ohodnocení</t>
        </is>
      </c>
      <c r="E144" s="5" t="n">
        <v>12469</v>
      </c>
      <c r="F144" s="12" t="n">
        <v>-717</v>
      </c>
      <c r="G144" s="5" t="n">
        <v>11752</v>
      </c>
      <c r="H144" s="5" t="n">
        <v>1678</v>
      </c>
      <c r="I144" s="13" t="n">
        <v>10074</v>
      </c>
      <c r="J144" s="6" t="inlineStr"/>
    </row>
    <row r="145">
      <c r="A145" s="7" t="n"/>
      <c r="B145" s="7" t="n"/>
      <c r="C145" s="7" t="n"/>
      <c r="D145" s="4" t="inlineStr">
        <is>
          <t>Prémie</t>
        </is>
      </c>
      <c r="E145" s="5" t="n">
        <v>0</v>
      </c>
      <c r="F145" s="5" t="n">
        <v>0</v>
      </c>
      <c r="G145" s="5" t="n">
        <v>0</v>
      </c>
      <c r="H145" s="5" t="n">
        <v>0</v>
      </c>
      <c r="I145" s="5" t="n">
        <v>0</v>
      </c>
      <c r="J145" s="6" t="inlineStr">
        <is>
          <t>přesčas řešen v prémii</t>
        </is>
      </c>
    </row>
    <row r="146">
      <c r="A146" s="7" t="n"/>
      <c r="B146" s="7" t="n"/>
      <c r="C146" s="7" t="n"/>
      <c r="D146" s="4" t="inlineStr">
        <is>
          <t>Oblečení</t>
        </is>
      </c>
      <c r="E146" s="5" t="n">
        <v>2235</v>
      </c>
      <c r="F146" s="5" t="n">
        <v>0</v>
      </c>
      <c r="G146" s="5" t="n">
        <v>2235</v>
      </c>
      <c r="H146" s="5" t="n">
        <v>0</v>
      </c>
      <c r="I146" s="13" t="n">
        <v>2235</v>
      </c>
      <c r="J146" s="6" t="inlineStr">
        <is>
          <t>pohyb (nekrátí se)</t>
        </is>
      </c>
    </row>
    <row r="147">
      <c r="A147" s="7" t="n"/>
      <c r="B147" s="7" t="n"/>
      <c r="C147" s="7" t="n"/>
      <c r="D147" s="4" t="inlineStr">
        <is>
          <t>Home office</t>
        </is>
      </c>
      <c r="E147" s="5" t="n">
        <v>1505</v>
      </c>
      <c r="F147" s="5" t="n">
        <v>0</v>
      </c>
      <c r="G147" s="5" t="n">
        <v>1505</v>
      </c>
      <c r="H147" s="5" t="n">
        <v>0</v>
      </c>
      <c r="I147" s="13" t="n">
        <v>1505</v>
      </c>
      <c r="J147" s="6" t="inlineStr">
        <is>
          <t>pohyb (nekrátí se)</t>
        </is>
      </c>
    </row>
    <row r="148">
      <c r="A148" s="8" t="n"/>
      <c r="B148" s="8" t="n"/>
      <c r="C148" s="8" t="n"/>
      <c r="D148" s="9" t="inlineStr">
        <is>
          <t>CELKEM</t>
        </is>
      </c>
      <c r="E148" s="10" t="n">
        <v>42909</v>
      </c>
      <c r="F148" s="10" t="n">
        <v>-2251</v>
      </c>
      <c r="G148" s="10" t="n">
        <v>40658</v>
      </c>
      <c r="H148" s="10" t="n">
        <v>27742</v>
      </c>
      <c r="I148" s="14" t="n">
        <v>12916</v>
      </c>
      <c r="J148" s="9" t="inlineStr"/>
    </row>
    <row r="149">
      <c r="A149" s="2" t="inlineStr">
        <is>
          <t>ES</t>
        </is>
      </c>
      <c r="B149" s="2" t="inlineStr">
        <is>
          <t>50</t>
        </is>
      </c>
      <c r="C149" s="3" t="inlineStr">
        <is>
          <t>Zuzana Duspivová</t>
        </is>
      </c>
      <c r="D149" s="4" t="inlineStr">
        <is>
          <t>Základní mzda</t>
        </is>
      </c>
      <c r="E149" s="5" t="n">
        <v>33500</v>
      </c>
      <c r="F149" s="12" t="n">
        <v>-1155</v>
      </c>
      <c r="G149" s="5" t="n">
        <v>32345</v>
      </c>
      <c r="H149" s="5" t="n">
        <v>33500</v>
      </c>
      <c r="I149" s="13" t="n">
        <v>-1155</v>
      </c>
      <c r="J149" s="6" t="inlineStr">
        <is>
          <t>odprac. 168/174.0h</t>
        </is>
      </c>
    </row>
    <row r="150">
      <c r="A150" s="7" t="n"/>
      <c r="B150" s="7" t="n"/>
      <c r="C150" s="7" t="n"/>
      <c r="D150" s="4" t="inlineStr">
        <is>
          <t>Osobní ohodnocení</t>
        </is>
      </c>
      <c r="E150" s="5" t="n">
        <v>2147</v>
      </c>
      <c r="F150" s="12" t="n">
        <v>-74</v>
      </c>
      <c r="G150" s="5" t="n">
        <v>2073</v>
      </c>
      <c r="H150" s="5" t="n">
        <v>2147</v>
      </c>
      <c r="I150" s="13" t="n">
        <v>-74</v>
      </c>
      <c r="J150" s="6" t="inlineStr"/>
    </row>
    <row r="151">
      <c r="A151" s="7" t="n"/>
      <c r="B151" s="7" t="n"/>
      <c r="C151" s="7" t="n"/>
      <c r="D151" s="4" t="inlineStr">
        <is>
          <t>Prémie</t>
        </is>
      </c>
      <c r="E151" s="5" t="n">
        <v>0</v>
      </c>
      <c r="F151" s="5" t="n">
        <v>0</v>
      </c>
      <c r="G151" s="5" t="n">
        <v>0</v>
      </c>
      <c r="H151" s="5" t="n">
        <v>0</v>
      </c>
      <c r="I151" s="5" t="n">
        <v>0</v>
      </c>
      <c r="J151" s="6" t="inlineStr">
        <is>
          <t>přesčas řešen v prémii</t>
        </is>
      </c>
    </row>
    <row r="152">
      <c r="A152" s="7" t="n"/>
      <c r="B152" s="7" t="n"/>
      <c r="C152" s="7" t="n"/>
      <c r="D152" s="4" t="inlineStr">
        <is>
          <t>Oblečení</t>
        </is>
      </c>
      <c r="E152" s="5" t="n">
        <v>2289</v>
      </c>
      <c r="F152" s="5" t="n">
        <v>0</v>
      </c>
      <c r="G152" s="5" t="n">
        <v>2289</v>
      </c>
      <c r="H152" s="5" t="n">
        <v>0</v>
      </c>
      <c r="I152" s="13" t="n">
        <v>2289</v>
      </c>
      <c r="J152" s="6" t="inlineStr">
        <is>
          <t>pohyb (nekrátí se)</t>
        </is>
      </c>
    </row>
    <row r="153">
      <c r="A153" s="7" t="n"/>
      <c r="B153" s="7" t="n"/>
      <c r="C153" s="7" t="n"/>
      <c r="D153" s="4" t="inlineStr">
        <is>
          <t>Home office</t>
        </is>
      </c>
      <c r="E153" s="5" t="n">
        <v>2064</v>
      </c>
      <c r="F153" s="5" t="n">
        <v>0</v>
      </c>
      <c r="G153" s="5" t="n">
        <v>2064</v>
      </c>
      <c r="H153" s="5" t="n">
        <v>0</v>
      </c>
      <c r="I153" s="13" t="n">
        <v>2064</v>
      </c>
      <c r="J153" s="6" t="inlineStr">
        <is>
          <t>pohyb (nekrátí se)</t>
        </is>
      </c>
    </row>
    <row r="154">
      <c r="A154" s="8" t="n"/>
      <c r="B154" s="8" t="n"/>
      <c r="C154" s="8" t="n"/>
      <c r="D154" s="9" t="inlineStr">
        <is>
          <t>CELKEM</t>
        </is>
      </c>
      <c r="E154" s="10" t="n">
        <v>40000</v>
      </c>
      <c r="F154" s="10" t="n">
        <v>-1229</v>
      </c>
      <c r="G154" s="10" t="n">
        <v>38771</v>
      </c>
      <c r="H154" s="10" t="n">
        <v>35647</v>
      </c>
      <c r="I154" s="14" t="n">
        <v>3124</v>
      </c>
      <c r="J154" s="9" t="inlineStr"/>
    </row>
    <row r="155">
      <c r="A155" s="2" t="inlineStr">
        <is>
          <t>ES</t>
        </is>
      </c>
      <c r="B155" s="2" t="inlineStr">
        <is>
          <t>126</t>
        </is>
      </c>
      <c r="C155" s="3" t="inlineStr">
        <is>
          <t>Matěj Svoboda</t>
        </is>
      </c>
      <c r="D155" s="4" t="inlineStr">
        <is>
          <t>Základní mzda</t>
        </is>
      </c>
      <c r="E155" s="5" t="n">
        <v>30000</v>
      </c>
      <c r="F155" s="12" t="n">
        <v>-1034</v>
      </c>
      <c r="G155" s="5" t="n">
        <v>28966</v>
      </c>
      <c r="H155" s="5" t="n">
        <v>30000</v>
      </c>
      <c r="I155" s="13" t="n">
        <v>-1034</v>
      </c>
      <c r="J155" s="6" t="inlineStr">
        <is>
          <t>odprac. 168/174.0h</t>
        </is>
      </c>
    </row>
    <row r="156">
      <c r="A156" s="7" t="n"/>
      <c r="B156" s="7" t="n"/>
      <c r="C156" s="7" t="n"/>
      <c r="D156" s="4" t="inlineStr">
        <is>
          <t>Osobní ohodnocení</t>
        </is>
      </c>
      <c r="E156" s="5" t="n">
        <v>1641</v>
      </c>
      <c r="F156" s="12" t="n">
        <v>-57</v>
      </c>
      <c r="G156" s="5" t="n">
        <v>1584</v>
      </c>
      <c r="H156" s="5" t="n">
        <v>2641</v>
      </c>
      <c r="I156" s="13" t="n">
        <v>-1057</v>
      </c>
      <c r="J156" s="6" t="inlineStr"/>
    </row>
    <row r="157">
      <c r="A157" s="7" t="n"/>
      <c r="B157" s="7" t="n"/>
      <c r="C157" s="7" t="n"/>
      <c r="D157" s="4" t="inlineStr">
        <is>
          <t>Prémie</t>
        </is>
      </c>
      <c r="E157" s="5" t="n">
        <v>1000</v>
      </c>
      <c r="F157" s="5" t="n">
        <v>0</v>
      </c>
      <c r="G157" s="5" t="n">
        <v>1000</v>
      </c>
      <c r="H157" s="5" t="n">
        <v>580</v>
      </c>
      <c r="I157" s="13" t="n">
        <v>420</v>
      </c>
      <c r="J157" s="6" t="inlineStr">
        <is>
          <t>přesčas řešen v prémii</t>
        </is>
      </c>
    </row>
    <row r="158">
      <c r="A158" s="7" t="n"/>
      <c r="B158" s="7" t="n"/>
      <c r="C158" s="7" t="n"/>
      <c r="D158" s="4" t="inlineStr">
        <is>
          <t>Oblečení</t>
        </is>
      </c>
      <c r="E158" s="5" t="n">
        <v>5859</v>
      </c>
      <c r="F158" s="5" t="n">
        <v>0</v>
      </c>
      <c r="G158" s="5" t="n">
        <v>5859</v>
      </c>
      <c r="H158" s="5" t="n">
        <v>0</v>
      </c>
      <c r="I158" s="13" t="n">
        <v>5859</v>
      </c>
      <c r="J158" s="6" t="inlineStr">
        <is>
          <t>pohyb (nekrátí se)</t>
        </is>
      </c>
    </row>
    <row r="159">
      <c r="A159" s="7" t="n"/>
      <c r="B159" s="7" t="n"/>
      <c r="C159" s="7" t="n"/>
      <c r="D159" s="4" t="inlineStr">
        <is>
          <t>Tel.srážka</t>
        </is>
      </c>
      <c r="E159" s="5" t="n">
        <v>-267</v>
      </c>
      <c r="F159" s="5" t="n">
        <v>0</v>
      </c>
      <c r="G159" s="5" t="n">
        <v>-267</v>
      </c>
      <c r="H159" s="5" t="n">
        <v>0</v>
      </c>
      <c r="I159" s="13" t="n">
        <v>-267</v>
      </c>
      <c r="J159" s="6" t="inlineStr">
        <is>
          <t>pohyb (nekrátí se)</t>
        </is>
      </c>
    </row>
    <row r="160">
      <c r="A160" s="8" t="n"/>
      <c r="B160" s="8" t="n"/>
      <c r="C160" s="8" t="n"/>
      <c r="D160" s="9" t="inlineStr">
        <is>
          <t>CELKEM</t>
        </is>
      </c>
      <c r="E160" s="10" t="n">
        <v>38233</v>
      </c>
      <c r="F160" s="10" t="n">
        <v>-1091</v>
      </c>
      <c r="G160" s="10" t="n">
        <v>37142</v>
      </c>
      <c r="H160" s="10" t="n">
        <v>33221</v>
      </c>
      <c r="I160" s="14" t="n">
        <v>3921</v>
      </c>
      <c r="J160" s="9" t="inlineStr"/>
    </row>
    <row r="161">
      <c r="A161" s="2" t="inlineStr">
        <is>
          <t>ES</t>
        </is>
      </c>
      <c r="B161" s="2" t="inlineStr">
        <is>
          <t>147</t>
        </is>
      </c>
      <c r="C161" s="3" t="inlineStr">
        <is>
          <t>Zdeněk Diviš</t>
        </is>
      </c>
      <c r="D161" s="4" t="inlineStr">
        <is>
          <t>Základní mzda</t>
        </is>
      </c>
      <c r="E161" s="5" t="n">
        <v>34000</v>
      </c>
      <c r="F161" s="12" t="n">
        <v>-1954</v>
      </c>
      <c r="G161" s="5" t="n">
        <v>32046</v>
      </c>
      <c r="H161" s="5" t="n">
        <v>33190</v>
      </c>
      <c r="I161" s="13" t="n">
        <v>-1144</v>
      </c>
      <c r="J161" s="6" t="inlineStr">
        <is>
          <t>odprac. 164/174.0h, +4h náhr.</t>
        </is>
      </c>
    </row>
    <row r="162">
      <c r="A162" s="7" t="n"/>
      <c r="B162" s="7" t="n"/>
      <c r="C162" s="7" t="n"/>
      <c r="D162" s="4" t="inlineStr">
        <is>
          <t>Osobní ohodnocení</t>
        </is>
      </c>
      <c r="E162" s="5" t="n">
        <v>1640</v>
      </c>
      <c r="F162" s="12" t="n">
        <v>-94</v>
      </c>
      <c r="G162" s="5" t="n">
        <v>1546</v>
      </c>
      <c r="H162" s="5" t="n">
        <v>2577</v>
      </c>
      <c r="I162" s="13" t="n">
        <v>-1031</v>
      </c>
      <c r="J162" s="6" t="inlineStr"/>
    </row>
    <row r="163">
      <c r="A163" s="7" t="n"/>
      <c r="B163" s="7" t="n"/>
      <c r="C163" s="7" t="n"/>
      <c r="D163" s="4" t="inlineStr">
        <is>
          <t>Prémie</t>
        </is>
      </c>
      <c r="E163" s="5" t="n">
        <v>1000</v>
      </c>
      <c r="F163" s="5" t="n">
        <v>0</v>
      </c>
      <c r="G163" s="5" t="n">
        <v>1000</v>
      </c>
      <c r="H163" s="5" t="n">
        <v>280</v>
      </c>
      <c r="I163" s="13" t="n">
        <v>720</v>
      </c>
      <c r="J163" s="6" t="inlineStr">
        <is>
          <t>přesčas řešen v prémii</t>
        </is>
      </c>
    </row>
    <row r="164">
      <c r="A164" s="7" t="n"/>
      <c r="B164" s="7" t="n"/>
      <c r="C164" s="7" t="n"/>
      <c r="D164" s="4" t="inlineStr">
        <is>
          <t>Oblečení</t>
        </is>
      </c>
      <c r="E164" s="5" t="n">
        <v>5720</v>
      </c>
      <c r="F164" s="5" t="n">
        <v>0</v>
      </c>
      <c r="G164" s="5" t="n">
        <v>5720</v>
      </c>
      <c r="H164" s="5" t="n">
        <v>0</v>
      </c>
      <c r="I164" s="13" t="n">
        <v>5720</v>
      </c>
      <c r="J164" s="6" t="inlineStr">
        <is>
          <t>pohyb (nekrátí se)</t>
        </is>
      </c>
    </row>
    <row r="165">
      <c r="A165" s="7" t="n"/>
      <c r="B165" s="7" t="n"/>
      <c r="C165" s="7" t="n"/>
      <c r="D165" s="4" t="inlineStr">
        <is>
          <t>Tel.srážka</t>
        </is>
      </c>
      <c r="E165" s="5" t="n">
        <v>-5</v>
      </c>
      <c r="F165" s="5" t="n">
        <v>0</v>
      </c>
      <c r="G165" s="5" t="n">
        <v>-5</v>
      </c>
      <c r="H165" s="5" t="n">
        <v>0</v>
      </c>
      <c r="I165" s="13" t="n">
        <v>-5</v>
      </c>
      <c r="J165" s="6" t="inlineStr">
        <is>
          <t>pohyb (nekrátí se)</t>
        </is>
      </c>
    </row>
    <row r="166">
      <c r="A166" s="8" t="n"/>
      <c r="B166" s="8" t="n"/>
      <c r="C166" s="8" t="n"/>
      <c r="D166" s="9" t="inlineStr">
        <is>
          <t>CELKEM</t>
        </is>
      </c>
      <c r="E166" s="10" t="n">
        <v>42355</v>
      </c>
      <c r="F166" s="10" t="n">
        <v>-2048</v>
      </c>
      <c r="G166" s="10" t="n">
        <v>40307</v>
      </c>
      <c r="H166" s="10" t="n">
        <v>36047</v>
      </c>
      <c r="I166" s="14" t="n">
        <v>4260</v>
      </c>
      <c r="J166" s="9" t="inlineStr"/>
    </row>
    <row r="167">
      <c r="A167" s="2" t="inlineStr">
        <is>
          <t>ES</t>
        </is>
      </c>
      <c r="B167" s="2" t="inlineStr">
        <is>
          <t>322</t>
        </is>
      </c>
      <c r="C167" s="3" t="inlineStr">
        <is>
          <t>Erika Sedláčková</t>
        </is>
      </c>
      <c r="D167" s="4" t="inlineStr">
        <is>
          <t>Základní mzda</t>
        </is>
      </c>
      <c r="E167" s="5" t="n">
        <v>31000</v>
      </c>
      <c r="F167" s="12" t="n">
        <v>-1069</v>
      </c>
      <c r="G167" s="5" t="n">
        <v>29931</v>
      </c>
      <c r="H167" s="5" t="n">
        <v>31000</v>
      </c>
      <c r="I167" s="13" t="n">
        <v>-1069</v>
      </c>
      <c r="J167" s="6" t="inlineStr">
        <is>
          <t>odprac. 168/174.0h</t>
        </is>
      </c>
    </row>
    <row r="168">
      <c r="A168" s="7" t="n"/>
      <c r="B168" s="7" t="n"/>
      <c r="C168" s="7" t="n"/>
      <c r="D168" s="4" t="inlineStr">
        <is>
          <t>Osobní ohodnocení</t>
        </is>
      </c>
      <c r="E168" s="5" t="n">
        <v>1641</v>
      </c>
      <c r="F168" s="12" t="n">
        <v>-57</v>
      </c>
      <c r="G168" s="5" t="n">
        <v>1584</v>
      </c>
      <c r="H168" s="5" t="n">
        <v>1641</v>
      </c>
      <c r="I168" s="13" t="n">
        <v>-57</v>
      </c>
      <c r="J168" s="6" t="inlineStr"/>
    </row>
    <row r="169">
      <c r="A169" s="7" t="n"/>
      <c r="B169" s="7" t="n"/>
      <c r="C169" s="7" t="n"/>
      <c r="D169" s="4" t="inlineStr">
        <is>
          <t>Prémie</t>
        </is>
      </c>
      <c r="E169" s="5" t="n">
        <v>0</v>
      </c>
      <c r="F169" s="5" t="n">
        <v>0</v>
      </c>
      <c r="G169" s="5" t="n">
        <v>0</v>
      </c>
      <c r="H169" s="5" t="n">
        <v>85</v>
      </c>
      <c r="I169" s="13" t="n">
        <v>-85</v>
      </c>
      <c r="J169" s="6" t="inlineStr">
        <is>
          <t>přesčas řešen v prémii</t>
        </is>
      </c>
    </row>
    <row r="170">
      <c r="A170" s="7" t="n"/>
      <c r="B170" s="7" t="n"/>
      <c r="C170" s="7" t="n"/>
      <c r="D170" s="4" t="inlineStr">
        <is>
          <t>Oblečení</t>
        </is>
      </c>
      <c r="E170" s="5" t="n">
        <v>5859</v>
      </c>
      <c r="F170" s="5" t="n">
        <v>0</v>
      </c>
      <c r="G170" s="5" t="n">
        <v>5859</v>
      </c>
      <c r="H170" s="5" t="n">
        <v>0</v>
      </c>
      <c r="I170" s="13" t="n">
        <v>5859</v>
      </c>
      <c r="J170" s="6" t="inlineStr">
        <is>
          <t>pohyb (nekrátí se)</t>
        </is>
      </c>
    </row>
    <row r="171">
      <c r="A171" s="8" t="n"/>
      <c r="B171" s="8" t="n"/>
      <c r="C171" s="8" t="n"/>
      <c r="D171" s="9" t="inlineStr">
        <is>
          <t>CELKEM</t>
        </is>
      </c>
      <c r="E171" s="10" t="n">
        <v>38500</v>
      </c>
      <c r="F171" s="10" t="n">
        <v>-1126</v>
      </c>
      <c r="G171" s="10" t="n">
        <v>37374</v>
      </c>
      <c r="H171" s="10" t="n">
        <v>32726</v>
      </c>
      <c r="I171" s="14" t="n">
        <v>4648</v>
      </c>
      <c r="J171" s="9" t="inlineStr"/>
    </row>
    <row r="172">
      <c r="A172" s="2" t="inlineStr">
        <is>
          <t>ES</t>
        </is>
      </c>
      <c r="B172" s="2" t="inlineStr">
        <is>
          <t>356</t>
        </is>
      </c>
      <c r="C172" s="3" t="inlineStr">
        <is>
          <t>Ivana Brudnová</t>
        </is>
      </c>
      <c r="D172" s="4" t="inlineStr">
        <is>
          <t>Základní mzda</t>
        </is>
      </c>
      <c r="E172" s="5" t="n">
        <v>23200</v>
      </c>
      <c r="F172" s="12" t="n">
        <v>-800</v>
      </c>
      <c r="G172" s="5" t="n">
        <v>22400</v>
      </c>
      <c r="H172" s="5" t="n">
        <v>23200</v>
      </c>
      <c r="I172" s="13" t="n">
        <v>-800</v>
      </c>
      <c r="J172" s="6" t="inlineStr">
        <is>
          <t>odprac. 147/152.2h</t>
        </is>
      </c>
    </row>
    <row r="173">
      <c r="A173" s="7" t="n"/>
      <c r="B173" s="7" t="n"/>
      <c r="C173" s="7" t="n"/>
      <c r="D173" s="4" t="inlineStr">
        <is>
          <t>Osobní ohodnocení</t>
        </is>
      </c>
      <c r="E173" s="5" t="n">
        <v>5641</v>
      </c>
      <c r="F173" s="12" t="n">
        <v>-195</v>
      </c>
      <c r="G173" s="5" t="n">
        <v>5446</v>
      </c>
      <c r="H173" s="5" t="n">
        <v>1303</v>
      </c>
      <c r="I173" s="13" t="n">
        <v>4143</v>
      </c>
      <c r="J173" s="6" t="inlineStr"/>
    </row>
    <row r="174">
      <c r="A174" s="7" t="n"/>
      <c r="B174" s="7" t="n"/>
      <c r="C174" s="7" t="n"/>
      <c r="D174" s="4" t="inlineStr">
        <is>
          <t>Prémie</t>
        </is>
      </c>
      <c r="E174" s="5" t="n">
        <v>0</v>
      </c>
      <c r="F174" s="5" t="n">
        <v>0</v>
      </c>
      <c r="G174" s="5" t="n">
        <v>0</v>
      </c>
      <c r="H174" s="5" t="n">
        <v>1040</v>
      </c>
      <c r="I174" s="13" t="n">
        <v>-1040</v>
      </c>
      <c r="J174" s="6" t="inlineStr">
        <is>
          <t>přesčas řešen v prémii</t>
        </is>
      </c>
    </row>
    <row r="175">
      <c r="A175" s="7" t="n"/>
      <c r="B175" s="7" t="n"/>
      <c r="C175" s="7" t="n"/>
      <c r="D175" s="4" t="inlineStr">
        <is>
          <t>Oblečení</t>
        </is>
      </c>
      <c r="E175" s="5" t="n">
        <v>5859</v>
      </c>
      <c r="F175" s="5" t="n">
        <v>0</v>
      </c>
      <c r="G175" s="5" t="n">
        <v>5859</v>
      </c>
      <c r="H175" s="5" t="n">
        <v>0</v>
      </c>
      <c r="I175" s="13" t="n">
        <v>5859</v>
      </c>
      <c r="J175" s="6" t="inlineStr">
        <is>
          <t>pohyb (nekrátí se)</t>
        </is>
      </c>
    </row>
    <row r="176">
      <c r="A176" s="8" t="n"/>
      <c r="B176" s="8" t="n"/>
      <c r="C176" s="8" t="n"/>
      <c r="D176" s="9" t="inlineStr">
        <is>
          <t>CELKEM</t>
        </is>
      </c>
      <c r="E176" s="10" t="n">
        <v>34700</v>
      </c>
      <c r="F176" s="10" t="n">
        <v>-995</v>
      </c>
      <c r="G176" s="10" t="n">
        <v>33705</v>
      </c>
      <c r="H176" s="10" t="n">
        <v>25543</v>
      </c>
      <c r="I176" s="14" t="n">
        <v>8162</v>
      </c>
      <c r="J176" s="9" t="inlineStr"/>
    </row>
    <row r="177">
      <c r="A177" s="2" t="inlineStr">
        <is>
          <t>ES</t>
        </is>
      </c>
      <c r="B177" s="2" t="inlineStr">
        <is>
          <t>381</t>
        </is>
      </c>
      <c r="C177" s="3" t="inlineStr">
        <is>
          <t>Michelle Šafránková</t>
        </is>
      </c>
      <c r="D177" s="4" t="inlineStr">
        <is>
          <t>Základní mzda</t>
        </is>
      </c>
      <c r="E177" s="5" t="n">
        <v>34500</v>
      </c>
      <c r="F177" s="5" t="n">
        <v>0</v>
      </c>
      <c r="G177" s="5" t="n">
        <v>34500</v>
      </c>
      <c r="H177" s="5" t="n">
        <v>0</v>
      </c>
      <c r="I177" s="13" t="n">
        <v>34500</v>
      </c>
      <c r="J177" s="6" t="inlineStr">
        <is>
          <t>bez hodin (variabilní)</t>
        </is>
      </c>
    </row>
    <row r="178">
      <c r="A178" s="7" t="n"/>
      <c r="B178" s="7" t="n"/>
      <c r="C178" s="7" t="n"/>
      <c r="D178" s="4" t="inlineStr">
        <is>
          <t>Osobní ohodnocení</t>
        </is>
      </c>
      <c r="E178" s="5" t="n">
        <v>7500</v>
      </c>
      <c r="F178" s="5" t="n">
        <v>0</v>
      </c>
      <c r="G178" s="5" t="n">
        <v>7500</v>
      </c>
      <c r="H178" s="5" t="n">
        <v>0</v>
      </c>
      <c r="I178" s="13" t="n">
        <v>7500</v>
      </c>
      <c r="J178" s="6" t="inlineStr"/>
    </row>
    <row r="179">
      <c r="A179" s="7" t="n"/>
      <c r="B179" s="7" t="n"/>
      <c r="C179" s="7" t="n"/>
      <c r="D179" s="4" t="inlineStr">
        <is>
          <t>Prémie</t>
        </is>
      </c>
      <c r="E179" s="5" t="n">
        <v>0</v>
      </c>
      <c r="F179" s="5" t="n">
        <v>0</v>
      </c>
      <c r="G179" s="5" t="n">
        <v>0</v>
      </c>
      <c r="H179" s="5" t="n">
        <v>0</v>
      </c>
      <c r="I179" s="5" t="n">
        <v>0</v>
      </c>
      <c r="J179" s="6" t="inlineStr">
        <is>
          <t>přesčas řešen v prémii</t>
        </is>
      </c>
    </row>
    <row r="180">
      <c r="A180" s="7" t="n"/>
      <c r="B180" s="7" t="n"/>
      <c r="C180" s="7" t="n"/>
      <c r="D180" s="4" t="inlineStr">
        <is>
          <t>Tel.srážka</t>
        </is>
      </c>
      <c r="E180" s="5" t="n">
        <v>-249</v>
      </c>
      <c r="F180" s="5" t="n">
        <v>0</v>
      </c>
      <c r="G180" s="5" t="n">
        <v>-249</v>
      </c>
      <c r="H180" s="5" t="n">
        <v>0</v>
      </c>
      <c r="I180" s="13" t="n">
        <v>-249</v>
      </c>
      <c r="J180" s="6" t="inlineStr">
        <is>
          <t>pohyb (nekrátí se)</t>
        </is>
      </c>
    </row>
    <row r="181">
      <c r="A181" s="8" t="n"/>
      <c r="B181" s="8" t="n"/>
      <c r="C181" s="8" t="n"/>
      <c r="D181" s="9" t="inlineStr">
        <is>
          <t>CELKEM</t>
        </is>
      </c>
      <c r="E181" s="10" t="n">
        <v>41751</v>
      </c>
      <c r="F181" s="10" t="n">
        <v>0</v>
      </c>
      <c r="G181" s="10" t="n">
        <v>41751</v>
      </c>
      <c r="H181" s="10" t="n">
        <v>0</v>
      </c>
      <c r="I181" s="14" t="n">
        <v>41751</v>
      </c>
      <c r="J181" s="9" t="inlineStr"/>
    </row>
    <row r="182">
      <c r="A182" s="2" t="inlineStr">
        <is>
          <t>ES</t>
        </is>
      </c>
      <c r="B182" s="2" t="inlineStr">
        <is>
          <t>433</t>
        </is>
      </c>
      <c r="C182" s="3" t="inlineStr">
        <is>
          <t>Jana Lišková</t>
        </is>
      </c>
      <c r="D182" s="4" t="inlineStr">
        <is>
          <t>Základní mzda</t>
        </is>
      </c>
      <c r="E182" s="5" t="n">
        <v>28550</v>
      </c>
      <c r="F182" s="12" t="n">
        <v>-984</v>
      </c>
      <c r="G182" s="5" t="n">
        <v>27566</v>
      </c>
      <c r="H182" s="5" t="n">
        <v>28550</v>
      </c>
      <c r="I182" s="13" t="n">
        <v>-984</v>
      </c>
      <c r="J182" s="6" t="inlineStr">
        <is>
          <t>odprac. 168/174.0h</t>
        </is>
      </c>
    </row>
    <row r="183">
      <c r="A183" s="7" t="n"/>
      <c r="B183" s="7" t="n"/>
      <c r="C183" s="7" t="n"/>
      <c r="D183" s="4" t="inlineStr">
        <is>
          <t>Osobní ohodnocení</t>
        </is>
      </c>
      <c r="E183" s="5" t="n">
        <v>1641</v>
      </c>
      <c r="F183" s="12" t="n">
        <v>-57</v>
      </c>
      <c r="G183" s="5" t="n">
        <v>1584</v>
      </c>
      <c r="H183" s="5" t="n">
        <v>1641</v>
      </c>
      <c r="I183" s="13" t="n">
        <v>-57</v>
      </c>
      <c r="J183" s="6" t="inlineStr"/>
    </row>
    <row r="184">
      <c r="A184" s="7" t="n"/>
      <c r="B184" s="7" t="n"/>
      <c r="C184" s="7" t="n"/>
      <c r="D184" s="4" t="inlineStr">
        <is>
          <t>Prémie</t>
        </is>
      </c>
      <c r="E184" s="5" t="n">
        <v>0</v>
      </c>
      <c r="F184" s="5" t="n">
        <v>0</v>
      </c>
      <c r="G184" s="5" t="n">
        <v>0</v>
      </c>
      <c r="H184" s="5" t="n">
        <v>575</v>
      </c>
      <c r="I184" s="13" t="n">
        <v>-575</v>
      </c>
      <c r="J184" s="6" t="inlineStr">
        <is>
          <t>přesčas řešen v prémii</t>
        </is>
      </c>
    </row>
    <row r="185">
      <c r="A185" s="7" t="n"/>
      <c r="B185" s="7" t="n"/>
      <c r="C185" s="7" t="n"/>
      <c r="D185" s="4" t="inlineStr">
        <is>
          <t>Oblečení</t>
        </is>
      </c>
      <c r="E185" s="5" t="n">
        <v>5859</v>
      </c>
      <c r="F185" s="5" t="n">
        <v>0</v>
      </c>
      <c r="G185" s="5" t="n">
        <v>5859</v>
      </c>
      <c r="H185" s="5" t="n">
        <v>0</v>
      </c>
      <c r="I185" s="13" t="n">
        <v>5859</v>
      </c>
      <c r="J185" s="6" t="inlineStr">
        <is>
          <t>pohyb (nekrátí se)</t>
        </is>
      </c>
    </row>
    <row r="186">
      <c r="A186" s="8" t="n"/>
      <c r="B186" s="8" t="n"/>
      <c r="C186" s="8" t="n"/>
      <c r="D186" s="9" t="inlineStr">
        <is>
          <t>CELKEM</t>
        </is>
      </c>
      <c r="E186" s="10" t="n">
        <v>36050</v>
      </c>
      <c r="F186" s="10" t="n">
        <v>-1041</v>
      </c>
      <c r="G186" s="10" t="n">
        <v>35009</v>
      </c>
      <c r="H186" s="10" t="n">
        <v>30766</v>
      </c>
      <c r="I186" s="14" t="n">
        <v>4243</v>
      </c>
      <c r="J186" s="9" t="inlineStr"/>
    </row>
    <row r="187">
      <c r="A187" s="2" t="inlineStr">
        <is>
          <t>ES</t>
        </is>
      </c>
      <c r="B187" s="2" t="inlineStr">
        <is>
          <t>440</t>
        </is>
      </c>
      <c r="C187" s="3" t="inlineStr">
        <is>
          <t>Michaela Hladíková</t>
        </is>
      </c>
      <c r="D187" s="4" t="inlineStr">
        <is>
          <t>Základní mzda</t>
        </is>
      </c>
      <c r="E187" s="5" t="n">
        <v>44000</v>
      </c>
      <c r="F187" s="12" t="n">
        <v>-5563</v>
      </c>
      <c r="G187" s="5" t="n">
        <v>38437</v>
      </c>
      <c r="H187" s="5" t="n">
        <v>39810</v>
      </c>
      <c r="I187" s="13" t="n">
        <v>-1373</v>
      </c>
      <c r="J187" s="6" t="inlineStr">
        <is>
          <t>odprac. 152/174.0h, +16h náhr.</t>
        </is>
      </c>
    </row>
    <row r="188">
      <c r="A188" s="7" t="n"/>
      <c r="B188" s="7" t="n"/>
      <c r="C188" s="7" t="n"/>
      <c r="D188" s="4" t="inlineStr">
        <is>
          <t>Osobní ohodnocení</t>
        </is>
      </c>
      <c r="E188" s="5" t="n">
        <v>3144</v>
      </c>
      <c r="F188" s="12" t="n">
        <v>-398</v>
      </c>
      <c r="G188" s="5" t="n">
        <v>2746</v>
      </c>
      <c r="H188" s="5" t="n">
        <v>2845</v>
      </c>
      <c r="I188" s="13" t="n">
        <v>-99</v>
      </c>
      <c r="J188" s="6" t="inlineStr"/>
    </row>
    <row r="189">
      <c r="A189" s="7" t="n"/>
      <c r="B189" s="7" t="n"/>
      <c r="C189" s="7" t="n"/>
      <c r="D189" s="4" t="inlineStr">
        <is>
          <t>Prémie</t>
        </is>
      </c>
      <c r="E189" s="5" t="n">
        <v>202</v>
      </c>
      <c r="F189" s="5" t="n">
        <v>0</v>
      </c>
      <c r="G189" s="5" t="n">
        <v>202</v>
      </c>
      <c r="H189" s="5" t="n">
        <v>202</v>
      </c>
      <c r="I189" s="5" t="n">
        <v>0</v>
      </c>
      <c r="J189" s="6" t="inlineStr">
        <is>
          <t>přesčas řešen v prémii</t>
        </is>
      </c>
    </row>
    <row r="190">
      <c r="A190" s="7" t="n"/>
      <c r="B190" s="7" t="n"/>
      <c r="C190" s="7" t="n"/>
      <c r="D190" s="4" t="inlineStr">
        <is>
          <t>Oblečení</t>
        </is>
      </c>
      <c r="E190" s="5" t="n">
        <v>2071</v>
      </c>
      <c r="F190" s="5" t="n">
        <v>0</v>
      </c>
      <c r="G190" s="5" t="n">
        <v>2071</v>
      </c>
      <c r="H190" s="5" t="n">
        <v>0</v>
      </c>
      <c r="I190" s="13" t="n">
        <v>2071</v>
      </c>
      <c r="J190" s="6" t="inlineStr">
        <is>
          <t>pohyb (nekrátí se)</t>
        </is>
      </c>
    </row>
    <row r="191">
      <c r="A191" s="7" t="n"/>
      <c r="B191" s="7" t="n"/>
      <c r="C191" s="7" t="n"/>
      <c r="D191" s="4" t="inlineStr">
        <is>
          <t>Home office</t>
        </is>
      </c>
      <c r="E191" s="5" t="n">
        <v>1871</v>
      </c>
      <c r="F191" s="5" t="n">
        <v>0</v>
      </c>
      <c r="G191" s="5" t="n">
        <v>1871</v>
      </c>
      <c r="H191" s="5" t="n">
        <v>0</v>
      </c>
      <c r="I191" s="13" t="n">
        <v>1871</v>
      </c>
      <c r="J191" s="6" t="inlineStr">
        <is>
          <t>pohyb (nekrátí se)</t>
        </is>
      </c>
    </row>
    <row r="192">
      <c r="A192" s="8" t="n"/>
      <c r="B192" s="8" t="n"/>
      <c r="C192" s="8" t="n"/>
      <c r="D192" s="9" t="inlineStr">
        <is>
          <t>CELKEM</t>
        </is>
      </c>
      <c r="E192" s="10" t="n">
        <v>51288</v>
      </c>
      <c r="F192" s="10" t="n">
        <v>-5961</v>
      </c>
      <c r="G192" s="10" t="n">
        <v>45327</v>
      </c>
      <c r="H192" s="10" t="n">
        <v>42857</v>
      </c>
      <c r="I192" s="14" t="n">
        <v>2470</v>
      </c>
      <c r="J192" s="9" t="inlineStr"/>
    </row>
    <row r="193">
      <c r="A193" s="2" t="inlineStr">
        <is>
          <t>ES</t>
        </is>
      </c>
      <c r="B193" s="2" t="inlineStr">
        <is>
          <t>442</t>
        </is>
      </c>
      <c r="C193" s="3" t="inlineStr">
        <is>
          <t>Iva Hrůzová</t>
        </is>
      </c>
      <c r="D193" s="4" t="inlineStr">
        <is>
          <t>Základní mzda</t>
        </is>
      </c>
      <c r="E193" s="5" t="n">
        <v>27000</v>
      </c>
      <c r="F193" s="12" t="n">
        <v>-2638</v>
      </c>
      <c r="G193" s="5" t="n">
        <v>24362</v>
      </c>
      <c r="H193" s="5" t="n">
        <v>25300</v>
      </c>
      <c r="I193" s="13" t="n">
        <v>-938</v>
      </c>
      <c r="J193" s="6" t="inlineStr">
        <is>
          <t>odprac. 157/174.0h, +10h náhr.</t>
        </is>
      </c>
    </row>
    <row r="194">
      <c r="A194" s="7" t="n"/>
      <c r="B194" s="7" t="n"/>
      <c r="C194" s="7" t="n"/>
      <c r="D194" s="4" t="inlineStr">
        <is>
          <t>Osobní ohodnocení</t>
        </is>
      </c>
      <c r="E194" s="5" t="n">
        <v>5211</v>
      </c>
      <c r="F194" s="12" t="n">
        <v>-509</v>
      </c>
      <c r="G194" s="5" t="n">
        <v>4702</v>
      </c>
      <c r="H194" s="5" t="n">
        <v>4883</v>
      </c>
      <c r="I194" s="13" t="n">
        <v>-181</v>
      </c>
      <c r="J194" s="6" t="inlineStr"/>
    </row>
    <row r="195">
      <c r="A195" s="7" t="n"/>
      <c r="B195" s="7" t="n"/>
      <c r="C195" s="7" t="n"/>
      <c r="D195" s="4" t="inlineStr">
        <is>
          <t>Prémie</t>
        </is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6" t="inlineStr">
        <is>
          <t>přesčas řešen v prémii</t>
        </is>
      </c>
    </row>
    <row r="196">
      <c r="A196" s="7" t="n"/>
      <c r="B196" s="7" t="n"/>
      <c r="C196" s="7" t="n"/>
      <c r="D196" s="4" t="inlineStr">
        <is>
          <t>Oblečení</t>
        </is>
      </c>
      <c r="E196" s="5" t="n">
        <v>2139</v>
      </c>
      <c r="F196" s="5" t="n">
        <v>0</v>
      </c>
      <c r="G196" s="5" t="n">
        <v>2139</v>
      </c>
      <c r="H196" s="5" t="n">
        <v>0</v>
      </c>
      <c r="I196" s="13" t="n">
        <v>2139</v>
      </c>
      <c r="J196" s="6" t="inlineStr">
        <is>
          <t>pohyb (nekrátí se)</t>
        </is>
      </c>
    </row>
    <row r="197">
      <c r="A197" s="8" t="n"/>
      <c r="B197" s="8" t="n"/>
      <c r="C197" s="8" t="n"/>
      <c r="D197" s="9" t="inlineStr">
        <is>
          <t>CELKEM</t>
        </is>
      </c>
      <c r="E197" s="10" t="n">
        <v>34350</v>
      </c>
      <c r="F197" s="10" t="n">
        <v>-3147</v>
      </c>
      <c r="G197" s="10" t="n">
        <v>31203</v>
      </c>
      <c r="H197" s="10" t="n">
        <v>30183</v>
      </c>
      <c r="I197" s="14" t="n">
        <v>1020</v>
      </c>
      <c r="J197" s="9" t="inlineStr"/>
    </row>
    <row r="198">
      <c r="A198" s="2" t="inlineStr">
        <is>
          <t>ES</t>
        </is>
      </c>
      <c r="B198" s="2" t="inlineStr">
        <is>
          <t>474</t>
        </is>
      </c>
      <c r="C198" s="3" t="inlineStr">
        <is>
          <t>Václav Reitmaier</t>
        </is>
      </c>
      <c r="D198" s="4" t="inlineStr">
        <is>
          <t>Základní mzda</t>
        </is>
      </c>
      <c r="E198" s="5" t="n">
        <v>41500</v>
      </c>
      <c r="F198" s="12" t="n">
        <v>-3339</v>
      </c>
      <c r="G198" s="5" t="n">
        <v>38161</v>
      </c>
      <c r="H198" s="5" t="n">
        <v>39524</v>
      </c>
      <c r="I198" s="13" t="n">
        <v>-1363</v>
      </c>
      <c r="J198" s="6" t="inlineStr">
        <is>
          <t>odprac. 160/174.0h, +8h náhr.</t>
        </is>
      </c>
    </row>
    <row r="199">
      <c r="A199" s="7" t="n"/>
      <c r="B199" s="7" t="n"/>
      <c r="C199" s="7" t="n"/>
      <c r="D199" s="4" t="inlineStr">
        <is>
          <t>Osobní ohodnocení</t>
        </is>
      </c>
      <c r="E199" s="5" t="n">
        <v>641</v>
      </c>
      <c r="F199" s="12" t="n">
        <v>-52</v>
      </c>
      <c r="G199" s="5" t="n">
        <v>589</v>
      </c>
      <c r="H199" s="5" t="n">
        <v>610</v>
      </c>
      <c r="I199" s="13" t="n">
        <v>-21</v>
      </c>
      <c r="J199" s="6" t="inlineStr"/>
    </row>
    <row r="200">
      <c r="A200" s="7" t="n"/>
      <c r="B200" s="7" t="n"/>
      <c r="C200" s="7" t="n"/>
      <c r="D200" s="4" t="inlineStr">
        <is>
          <t>Prémie</t>
        </is>
      </c>
      <c r="E200" s="5" t="n">
        <v>0</v>
      </c>
      <c r="F200" s="5" t="n">
        <v>0</v>
      </c>
      <c r="G200" s="5" t="n">
        <v>0</v>
      </c>
      <c r="H200" s="5" t="n">
        <v>1590</v>
      </c>
      <c r="I200" s="13" t="n">
        <v>-1590</v>
      </c>
      <c r="J200" s="6" t="inlineStr">
        <is>
          <t>přesčas řešen v prémii</t>
        </is>
      </c>
    </row>
    <row r="201">
      <c r="A201" s="7" t="n"/>
      <c r="B201" s="7" t="n"/>
      <c r="C201" s="7" t="n"/>
      <c r="D201" s="4" t="inlineStr">
        <is>
          <t>Oblečení</t>
        </is>
      </c>
      <c r="E201" s="5" t="n">
        <v>5580</v>
      </c>
      <c r="F201" s="5" t="n">
        <v>0</v>
      </c>
      <c r="G201" s="5" t="n">
        <v>5580</v>
      </c>
      <c r="H201" s="5" t="n">
        <v>0</v>
      </c>
      <c r="I201" s="13" t="n">
        <v>5580</v>
      </c>
      <c r="J201" s="6" t="inlineStr">
        <is>
          <t>pohyb (nekrátí se)</t>
        </is>
      </c>
    </row>
    <row r="202">
      <c r="A202" s="8" t="n"/>
      <c r="B202" s="8" t="n"/>
      <c r="C202" s="8" t="n"/>
      <c r="D202" s="9" t="inlineStr">
        <is>
          <t>CELKEM</t>
        </is>
      </c>
      <c r="E202" s="10" t="n">
        <v>47721</v>
      </c>
      <c r="F202" s="10" t="n">
        <v>-3391</v>
      </c>
      <c r="G202" s="10" t="n">
        <v>44330</v>
      </c>
      <c r="H202" s="10" t="n">
        <v>41724</v>
      </c>
      <c r="I202" s="14" t="n">
        <v>2606</v>
      </c>
      <c r="J202" s="9" t="inlineStr"/>
    </row>
    <row r="203">
      <c r="A203" s="2" t="inlineStr">
        <is>
          <t>ES</t>
        </is>
      </c>
      <c r="B203" s="2" t="inlineStr">
        <is>
          <t>476</t>
        </is>
      </c>
      <c r="C203" s="3" t="inlineStr">
        <is>
          <t>Tomáš Bláha</t>
        </is>
      </c>
      <c r="D203" s="4" t="inlineStr">
        <is>
          <t>Základní mzda</t>
        </is>
      </c>
      <c r="E203" s="5" t="n">
        <v>28000</v>
      </c>
      <c r="F203" s="12" t="n">
        <v>-2253</v>
      </c>
      <c r="G203" s="5" t="n">
        <v>25747</v>
      </c>
      <c r="H203" s="5" t="n">
        <v>26667</v>
      </c>
      <c r="I203" s="13" t="n">
        <v>-920</v>
      </c>
      <c r="J203" s="6" t="inlineStr">
        <is>
          <t>odprac. 160/174.0h, +8h náhr.</t>
        </is>
      </c>
    </row>
    <row r="204">
      <c r="A204" s="7" t="n"/>
      <c r="B204" s="7" t="n"/>
      <c r="C204" s="7" t="n"/>
      <c r="D204" s="4" t="inlineStr">
        <is>
          <t>Osobní ohodnocení</t>
        </is>
      </c>
      <c r="E204" s="5" t="n">
        <v>1587</v>
      </c>
      <c r="F204" s="12" t="n">
        <v>-128</v>
      </c>
      <c r="G204" s="5" t="n">
        <v>1459</v>
      </c>
      <c r="H204" s="5" t="n">
        <v>1511</v>
      </c>
      <c r="I204" s="13" t="n">
        <v>-52</v>
      </c>
      <c r="J204" s="6" t="inlineStr"/>
    </row>
    <row r="205">
      <c r="A205" s="7" t="n"/>
      <c r="B205" s="7" t="n"/>
      <c r="C205" s="7" t="n"/>
      <c r="D205" s="4" t="inlineStr">
        <is>
          <t>Prémie</t>
        </is>
      </c>
      <c r="E205" s="5" t="n">
        <v>0</v>
      </c>
      <c r="F205" s="5" t="n">
        <v>0</v>
      </c>
      <c r="G205" s="5" t="n">
        <v>0</v>
      </c>
      <c r="H205" s="5" t="n">
        <v>225</v>
      </c>
      <c r="I205" s="13" t="n">
        <v>-225</v>
      </c>
      <c r="J205" s="6" t="inlineStr">
        <is>
          <t>přesčas řešen v prémii</t>
        </is>
      </c>
    </row>
    <row r="206">
      <c r="A206" s="7" t="n"/>
      <c r="B206" s="7" t="n"/>
      <c r="C206" s="7" t="n"/>
      <c r="D206" s="4" t="inlineStr">
        <is>
          <t>Oblečení</t>
        </is>
      </c>
      <c r="E206" s="5" t="n">
        <v>5580</v>
      </c>
      <c r="F206" s="5" t="n">
        <v>0</v>
      </c>
      <c r="G206" s="5" t="n">
        <v>5580</v>
      </c>
      <c r="H206" s="5" t="n">
        <v>0</v>
      </c>
      <c r="I206" s="13" t="n">
        <v>5580</v>
      </c>
      <c r="J206" s="6" t="inlineStr">
        <is>
          <t>pohyb (nekrátí se)</t>
        </is>
      </c>
    </row>
    <row r="207">
      <c r="A207" s="7" t="n"/>
      <c r="B207" s="7" t="n"/>
      <c r="C207" s="7" t="n"/>
      <c r="D207" s="4" t="inlineStr">
        <is>
          <t>Home office</t>
        </is>
      </c>
      <c r="E207" s="5" t="n">
        <v>1957</v>
      </c>
      <c r="F207" s="5" t="n">
        <v>0</v>
      </c>
      <c r="G207" s="5" t="n">
        <v>1957</v>
      </c>
      <c r="H207" s="5" t="n">
        <v>0</v>
      </c>
      <c r="I207" s="13" t="n">
        <v>1957</v>
      </c>
      <c r="J207" s="6" t="inlineStr">
        <is>
          <t>pohyb (nekrátí se)</t>
        </is>
      </c>
    </row>
    <row r="208">
      <c r="A208" s="8" t="n"/>
      <c r="B208" s="8" t="n"/>
      <c r="C208" s="8" t="n"/>
      <c r="D208" s="9" t="inlineStr">
        <is>
          <t>CELKEM</t>
        </is>
      </c>
      <c r="E208" s="10" t="n">
        <v>37124</v>
      </c>
      <c r="F208" s="10" t="n">
        <v>-2381</v>
      </c>
      <c r="G208" s="10" t="n">
        <v>34743</v>
      </c>
      <c r="H208" s="10" t="n">
        <v>28403</v>
      </c>
      <c r="I208" s="14" t="n">
        <v>6340</v>
      </c>
      <c r="J208" s="9" t="inlineStr"/>
    </row>
    <row r="209">
      <c r="A209" s="2" t="inlineStr">
        <is>
          <t>ES</t>
        </is>
      </c>
      <c r="B209" s="2" t="inlineStr">
        <is>
          <t>483</t>
        </is>
      </c>
      <c r="C209" s="3" t="inlineStr">
        <is>
          <t>Jiří Hájek</t>
        </is>
      </c>
      <c r="D209" s="4" t="inlineStr">
        <is>
          <t>Základní mzda</t>
        </is>
      </c>
      <c r="E209" s="5" t="n">
        <v>24000</v>
      </c>
      <c r="F209" s="12" t="n">
        <v>-1931</v>
      </c>
      <c r="G209" s="5" t="n">
        <v>22069</v>
      </c>
      <c r="H209" s="5" t="n">
        <v>22857</v>
      </c>
      <c r="I209" s="13" t="n">
        <v>-788</v>
      </c>
      <c r="J209" s="6" t="inlineStr">
        <is>
          <t>odprac. 160/174.0h, +8h náhr.</t>
        </is>
      </c>
    </row>
    <row r="210">
      <c r="A210" s="7" t="n"/>
      <c r="B210" s="7" t="n"/>
      <c r="C210" s="7" t="n"/>
      <c r="D210" s="4" t="inlineStr">
        <is>
          <t>Osobní ohodnocení</t>
        </is>
      </c>
      <c r="E210" s="5" t="n">
        <v>1641</v>
      </c>
      <c r="F210" s="12" t="n">
        <v>-132</v>
      </c>
      <c r="G210" s="5" t="n">
        <v>1509</v>
      </c>
      <c r="H210" s="5" t="n">
        <v>1563</v>
      </c>
      <c r="I210" s="13" t="n">
        <v>-54</v>
      </c>
      <c r="J210" s="6" t="inlineStr"/>
    </row>
    <row r="211">
      <c r="A211" s="7" t="n"/>
      <c r="B211" s="7" t="n"/>
      <c r="C211" s="7" t="n"/>
      <c r="D211" s="4" t="inlineStr">
        <is>
          <t>Prémie</t>
        </is>
      </c>
      <c r="E211" s="5" t="n">
        <v>0</v>
      </c>
      <c r="F211" s="5" t="n">
        <v>0</v>
      </c>
      <c r="G211" s="5" t="n">
        <v>0</v>
      </c>
      <c r="H211" s="5" t="n">
        <v>290</v>
      </c>
      <c r="I211" s="13" t="n">
        <v>-290</v>
      </c>
      <c r="J211" s="6" t="inlineStr">
        <is>
          <t>přesčas řešen v prémii</t>
        </is>
      </c>
    </row>
    <row r="212">
      <c r="A212" s="7" t="n"/>
      <c r="B212" s="7" t="n"/>
      <c r="C212" s="7" t="n"/>
      <c r="D212" s="4" t="inlineStr">
        <is>
          <t>Oblečení</t>
        </is>
      </c>
      <c r="E212" s="5" t="n">
        <v>5580</v>
      </c>
      <c r="F212" s="5" t="n">
        <v>0</v>
      </c>
      <c r="G212" s="5" t="n">
        <v>5580</v>
      </c>
      <c r="H212" s="5" t="n">
        <v>0</v>
      </c>
      <c r="I212" s="13" t="n">
        <v>5580</v>
      </c>
      <c r="J212" s="6" t="inlineStr">
        <is>
          <t>pohyb (nekrátí se)</t>
        </is>
      </c>
    </row>
    <row r="213">
      <c r="A213" s="8" t="n"/>
      <c r="B213" s="8" t="n"/>
      <c r="C213" s="8" t="n"/>
      <c r="D213" s="9" t="inlineStr">
        <is>
          <t>CELKEM</t>
        </is>
      </c>
      <c r="E213" s="10" t="n">
        <v>31221</v>
      </c>
      <c r="F213" s="10" t="n">
        <v>-2063</v>
      </c>
      <c r="G213" s="10" t="n">
        <v>29158</v>
      </c>
      <c r="H213" s="10" t="n">
        <v>24710</v>
      </c>
      <c r="I213" s="14" t="n">
        <v>4448</v>
      </c>
      <c r="J213" s="9" t="inlineStr"/>
    </row>
    <row r="214">
      <c r="A214" s="2" t="inlineStr">
        <is>
          <t>ES</t>
        </is>
      </c>
      <c r="B214" s="2" t="inlineStr">
        <is>
          <t>486</t>
        </is>
      </c>
      <c r="C214" s="3" t="inlineStr">
        <is>
          <t>Michal Jirkovský</t>
        </is>
      </c>
      <c r="D214" s="4" t="inlineStr">
        <is>
          <t>Základní mzda</t>
        </is>
      </c>
      <c r="E214" s="5" t="n">
        <v>29000</v>
      </c>
      <c r="F214" s="12" t="n">
        <v>-7667</v>
      </c>
      <c r="G214" s="5" t="n">
        <v>21333</v>
      </c>
      <c r="H214" s="5" t="n">
        <v>22095</v>
      </c>
      <c r="I214" s="13" t="n">
        <v>-762</v>
      </c>
      <c r="J214" s="6" t="inlineStr">
        <is>
          <t>odprac. 128/174.0h, +24h náhr.</t>
        </is>
      </c>
    </row>
    <row r="215">
      <c r="A215" s="7" t="n"/>
      <c r="B215" s="7" t="n"/>
      <c r="C215" s="7" t="n"/>
      <c r="D215" s="4" t="inlineStr">
        <is>
          <t>Osobní ohodnocení</t>
        </is>
      </c>
      <c r="E215" s="5" t="n">
        <v>1641</v>
      </c>
      <c r="F215" s="12" t="n">
        <v>-434</v>
      </c>
      <c r="G215" s="5" t="n">
        <v>1207</v>
      </c>
      <c r="H215" s="5" t="n">
        <v>1250</v>
      </c>
      <c r="I215" s="13" t="n">
        <v>-43</v>
      </c>
      <c r="J215" s="6" t="inlineStr"/>
    </row>
    <row r="216">
      <c r="A216" s="7" t="n"/>
      <c r="B216" s="7" t="n"/>
      <c r="C216" s="7" t="n"/>
      <c r="D216" s="4" t="inlineStr">
        <is>
          <t>Prémie</t>
        </is>
      </c>
      <c r="E216" s="5" t="n">
        <v>0</v>
      </c>
      <c r="F216" s="5" t="n">
        <v>0</v>
      </c>
      <c r="G216" s="5" t="n">
        <v>0</v>
      </c>
      <c r="H216" s="5" t="n">
        <v>15</v>
      </c>
      <c r="I216" s="13" t="n">
        <v>-15</v>
      </c>
      <c r="J216" s="6" t="inlineStr">
        <is>
          <t>přesčas řešen v prémii</t>
        </is>
      </c>
    </row>
    <row r="217">
      <c r="A217" s="7" t="n"/>
      <c r="B217" s="7" t="n"/>
      <c r="C217" s="7" t="n"/>
      <c r="D217" s="4" t="inlineStr">
        <is>
          <t>Oblečení</t>
        </is>
      </c>
      <c r="E217" s="5" t="n">
        <v>4743</v>
      </c>
      <c r="F217" s="5" t="n">
        <v>0</v>
      </c>
      <c r="G217" s="5" t="n">
        <v>4743</v>
      </c>
      <c r="H217" s="5" t="n">
        <v>0</v>
      </c>
      <c r="I217" s="13" t="n">
        <v>4743</v>
      </c>
      <c r="J217" s="6" t="inlineStr">
        <is>
          <t>pohyb (nekrátí se)</t>
        </is>
      </c>
    </row>
    <row r="218">
      <c r="A218" s="8" t="n"/>
      <c r="B218" s="8" t="n"/>
      <c r="C218" s="8" t="n"/>
      <c r="D218" s="9" t="inlineStr">
        <is>
          <t>CELKEM</t>
        </is>
      </c>
      <c r="E218" s="10" t="n">
        <v>35384</v>
      </c>
      <c r="F218" s="10" t="n">
        <v>-8101</v>
      </c>
      <c r="G218" s="10" t="n">
        <v>27283</v>
      </c>
      <c r="H218" s="10" t="n">
        <v>23360</v>
      </c>
      <c r="I218" s="14" t="n">
        <v>3923</v>
      </c>
      <c r="J218" s="9" t="inlineStr"/>
    </row>
    <row r="219">
      <c r="A219" s="2" t="inlineStr">
        <is>
          <t>ES</t>
        </is>
      </c>
      <c r="B219" s="2" t="inlineStr">
        <is>
          <t>488</t>
        </is>
      </c>
      <c r="C219" s="3" t="inlineStr">
        <is>
          <t>Jaroslav Švenda</t>
        </is>
      </c>
      <c r="D219" s="4" t="inlineStr">
        <is>
          <t>Základní mzda</t>
        </is>
      </c>
      <c r="E219" s="5" t="n">
        <v>26300</v>
      </c>
      <c r="F219" s="12" t="n">
        <v>-907</v>
      </c>
      <c r="G219" s="5" t="n">
        <v>25393</v>
      </c>
      <c r="H219" s="5" t="n">
        <v>26300</v>
      </c>
      <c r="I219" s="13" t="n">
        <v>-907</v>
      </c>
      <c r="J219" s="6" t="inlineStr">
        <is>
          <t>odprac. 168/174.0h</t>
        </is>
      </c>
    </row>
    <row r="220">
      <c r="A220" s="7" t="n"/>
      <c r="B220" s="7" t="n"/>
      <c r="C220" s="7" t="n"/>
      <c r="D220" s="4" t="inlineStr">
        <is>
          <t>Osobní ohodnocení</t>
        </is>
      </c>
      <c r="E220" s="5" t="n">
        <v>1641</v>
      </c>
      <c r="F220" s="12" t="n">
        <v>-57</v>
      </c>
      <c r="G220" s="5" t="n">
        <v>1584</v>
      </c>
      <c r="H220" s="5" t="n">
        <v>1641</v>
      </c>
      <c r="I220" s="13" t="n">
        <v>-57</v>
      </c>
      <c r="J220" s="6" t="inlineStr"/>
    </row>
    <row r="221">
      <c r="A221" s="7" t="n"/>
      <c r="B221" s="7" t="n"/>
      <c r="C221" s="7" t="n"/>
      <c r="D221" s="4" t="inlineStr">
        <is>
          <t>Prémie</t>
        </is>
      </c>
      <c r="E221" s="5" t="n">
        <v>0</v>
      </c>
      <c r="F221" s="5" t="n">
        <v>0</v>
      </c>
      <c r="G221" s="5" t="n">
        <v>0</v>
      </c>
      <c r="H221" s="5" t="n">
        <v>50</v>
      </c>
      <c r="I221" s="13" t="n">
        <v>-50</v>
      </c>
      <c r="J221" s="6" t="inlineStr">
        <is>
          <t>přesčas řešen v prémii</t>
        </is>
      </c>
    </row>
    <row r="222">
      <c r="A222" s="7" t="n"/>
      <c r="B222" s="7" t="n"/>
      <c r="C222" s="7" t="n"/>
      <c r="D222" s="4" t="inlineStr">
        <is>
          <t>Oblečení</t>
        </is>
      </c>
      <c r="E222" s="5" t="n">
        <v>5859</v>
      </c>
      <c r="F222" s="5" t="n">
        <v>0</v>
      </c>
      <c r="G222" s="5" t="n">
        <v>5859</v>
      </c>
      <c r="H222" s="5" t="n">
        <v>0</v>
      </c>
      <c r="I222" s="13" t="n">
        <v>5859</v>
      </c>
      <c r="J222" s="6" t="inlineStr">
        <is>
          <t>pohyb (nekrátí se)</t>
        </is>
      </c>
    </row>
    <row r="223">
      <c r="A223" s="7" t="n"/>
      <c r="B223" s="7" t="n"/>
      <c r="C223" s="7" t="n"/>
      <c r="D223" s="4" t="inlineStr">
        <is>
          <t>Tel.srážka</t>
        </is>
      </c>
      <c r="E223" s="5" t="n">
        <v>-267</v>
      </c>
      <c r="F223" s="5" t="n">
        <v>0</v>
      </c>
      <c r="G223" s="5" t="n">
        <v>-267</v>
      </c>
      <c r="H223" s="5" t="n">
        <v>0</v>
      </c>
      <c r="I223" s="13" t="n">
        <v>-267</v>
      </c>
      <c r="J223" s="6" t="inlineStr">
        <is>
          <t>pohyb (nekrátí se)</t>
        </is>
      </c>
    </row>
    <row r="224">
      <c r="A224" s="8" t="n"/>
      <c r="B224" s="8" t="n"/>
      <c r="C224" s="8" t="n"/>
      <c r="D224" s="9" t="inlineStr">
        <is>
          <t>CELKEM</t>
        </is>
      </c>
      <c r="E224" s="10" t="n">
        <v>33533</v>
      </c>
      <c r="F224" s="10" t="n">
        <v>-964</v>
      </c>
      <c r="G224" s="10" t="n">
        <v>32569</v>
      </c>
      <c r="H224" s="10" t="n">
        <v>27991</v>
      </c>
      <c r="I224" s="14" t="n">
        <v>4578</v>
      </c>
      <c r="J224" s="9" t="inlineStr"/>
    </row>
    <row r="225">
      <c r="A225" s="2" t="inlineStr">
        <is>
          <t>ES</t>
        </is>
      </c>
      <c r="B225" s="2" t="inlineStr">
        <is>
          <t>489</t>
        </is>
      </c>
      <c r="C225" s="3" t="inlineStr">
        <is>
          <t>Ilona Nepodalová</t>
        </is>
      </c>
      <c r="D225" s="4" t="inlineStr">
        <is>
          <t>Základní mzda</t>
        </is>
      </c>
      <c r="E225" s="5" t="n">
        <v>24700</v>
      </c>
      <c r="F225" s="12" t="n">
        <v>-852</v>
      </c>
      <c r="G225" s="5" t="n">
        <v>23848</v>
      </c>
      <c r="H225" s="5" t="n">
        <v>24700</v>
      </c>
      <c r="I225" s="13" t="n">
        <v>-852</v>
      </c>
      <c r="J225" s="6" t="inlineStr">
        <is>
          <t>odprac. 168/174.0h</t>
        </is>
      </c>
    </row>
    <row r="226">
      <c r="A226" s="7" t="n"/>
      <c r="B226" s="7" t="n"/>
      <c r="C226" s="7" t="n"/>
      <c r="D226" s="4" t="inlineStr">
        <is>
          <t>Osobní ohodnocení</t>
        </is>
      </c>
      <c r="E226" s="5" t="n">
        <v>5211</v>
      </c>
      <c r="F226" s="12" t="n">
        <v>-180</v>
      </c>
      <c r="G226" s="5" t="n">
        <v>5031</v>
      </c>
      <c r="H226" s="5" t="n">
        <v>5211</v>
      </c>
      <c r="I226" s="13" t="n">
        <v>-180</v>
      </c>
      <c r="J226" s="6" t="inlineStr"/>
    </row>
    <row r="227">
      <c r="A227" s="7" t="n"/>
      <c r="B227" s="7" t="n"/>
      <c r="C227" s="7" t="n"/>
      <c r="D227" s="4" t="inlineStr">
        <is>
          <t>Prémie</t>
        </is>
      </c>
      <c r="E227" s="5" t="n">
        <v>0</v>
      </c>
      <c r="F227" s="5" t="n">
        <v>0</v>
      </c>
      <c r="G227" s="5" t="n">
        <v>0</v>
      </c>
      <c r="H227" s="5" t="n">
        <v>0</v>
      </c>
      <c r="I227" s="5" t="n">
        <v>0</v>
      </c>
      <c r="J227" s="6" t="inlineStr">
        <is>
          <t>přesčas řešen v prémii</t>
        </is>
      </c>
    </row>
    <row r="228">
      <c r="A228" s="7" t="n"/>
      <c r="B228" s="7" t="n"/>
      <c r="C228" s="7" t="n"/>
      <c r="D228" s="4" t="inlineStr">
        <is>
          <t>Oblečení</t>
        </is>
      </c>
      <c r="E228" s="5" t="n">
        <v>2289</v>
      </c>
      <c r="F228" s="5" t="n">
        <v>0</v>
      </c>
      <c r="G228" s="5" t="n">
        <v>2289</v>
      </c>
      <c r="H228" s="5" t="n">
        <v>0</v>
      </c>
      <c r="I228" s="13" t="n">
        <v>2289</v>
      </c>
      <c r="J228" s="6" t="inlineStr">
        <is>
          <t>pohyb (nekrátí se)</t>
        </is>
      </c>
    </row>
    <row r="229">
      <c r="A229" s="8" t="n"/>
      <c r="B229" s="8" t="n"/>
      <c r="C229" s="8" t="n"/>
      <c r="D229" s="9" t="inlineStr">
        <is>
          <t>CELKEM</t>
        </is>
      </c>
      <c r="E229" s="10" t="n">
        <v>32200</v>
      </c>
      <c r="F229" s="10" t="n">
        <v>-1032</v>
      </c>
      <c r="G229" s="10" t="n">
        <v>31168</v>
      </c>
      <c r="H229" s="10" t="n">
        <v>29911</v>
      </c>
      <c r="I229" s="14" t="n">
        <v>1257</v>
      </c>
      <c r="J229" s="9" t="inlineStr"/>
    </row>
    <row r="230">
      <c r="A230" s="2" t="inlineStr">
        <is>
          <t>ES</t>
        </is>
      </c>
      <c r="B230" s="2" t="inlineStr">
        <is>
          <t>493</t>
        </is>
      </c>
      <c r="C230" s="3" t="inlineStr">
        <is>
          <t>Lucie Jakešová</t>
        </is>
      </c>
      <c r="D230" s="4" t="inlineStr">
        <is>
          <t>Základní mzda</t>
        </is>
      </c>
      <c r="E230" s="5" t="n">
        <v>26000</v>
      </c>
      <c r="F230" s="12" t="n">
        <v>-2092</v>
      </c>
      <c r="G230" s="5" t="n">
        <v>23908</v>
      </c>
      <c r="H230" s="5" t="n">
        <v>24903</v>
      </c>
      <c r="I230" s="13" t="n">
        <v>-995</v>
      </c>
      <c r="J230" s="6" t="inlineStr">
        <is>
          <t>odprac. 160/174.0h, +7h náhr.</t>
        </is>
      </c>
    </row>
    <row r="231">
      <c r="A231" s="7" t="n"/>
      <c r="B231" s="7" t="n"/>
      <c r="C231" s="7" t="n"/>
      <c r="D231" s="4" t="inlineStr">
        <is>
          <t>Osobní ohodnocení</t>
        </is>
      </c>
      <c r="E231" s="5" t="n">
        <v>1641</v>
      </c>
      <c r="F231" s="12" t="n">
        <v>-132</v>
      </c>
      <c r="G231" s="5" t="n">
        <v>1509</v>
      </c>
      <c r="H231" s="5" t="n">
        <v>1572</v>
      </c>
      <c r="I231" s="13" t="n">
        <v>-63</v>
      </c>
      <c r="J231" s="6" t="inlineStr"/>
    </row>
    <row r="232">
      <c r="A232" s="7" t="n"/>
      <c r="B232" s="7" t="n"/>
      <c r="C232" s="7" t="n"/>
      <c r="D232" s="4" t="inlineStr">
        <is>
          <t>Prémie</t>
        </is>
      </c>
      <c r="E232" s="5" t="n">
        <v>0</v>
      </c>
      <c r="F232" s="5" t="n">
        <v>0</v>
      </c>
      <c r="G232" s="5" t="n">
        <v>0</v>
      </c>
      <c r="H232" s="5" t="n">
        <v>1190</v>
      </c>
      <c r="I232" s="13" t="n">
        <v>-1190</v>
      </c>
      <c r="J232" s="6" t="inlineStr">
        <is>
          <t>přesčas řešen v prémii</t>
        </is>
      </c>
    </row>
    <row r="233">
      <c r="A233" s="7" t="n"/>
      <c r="B233" s="7" t="n"/>
      <c r="C233" s="7" t="n"/>
      <c r="D233" s="4" t="inlineStr">
        <is>
          <t>Oblečení</t>
        </is>
      </c>
      <c r="E233" s="5" t="n">
        <v>5615</v>
      </c>
      <c r="F233" s="5" t="n">
        <v>0</v>
      </c>
      <c r="G233" s="5" t="n">
        <v>5615</v>
      </c>
      <c r="H233" s="5" t="n">
        <v>0</v>
      </c>
      <c r="I233" s="13" t="n">
        <v>5615</v>
      </c>
      <c r="J233" s="6" t="inlineStr">
        <is>
          <t>pohyb (nekrátí se)</t>
        </is>
      </c>
    </row>
    <row r="234">
      <c r="A234" s="7" t="n"/>
      <c r="B234" s="7" t="n"/>
      <c r="C234" s="7" t="n"/>
      <c r="D234" s="4" t="inlineStr">
        <is>
          <t>Cestovné</t>
        </is>
      </c>
      <c r="E234" s="5" t="n">
        <v>155</v>
      </c>
      <c r="F234" s="5" t="n">
        <v>0</v>
      </c>
      <c r="G234" s="5" t="n">
        <v>155</v>
      </c>
      <c r="H234" s="5" t="n">
        <v>0</v>
      </c>
      <c r="I234" s="13" t="n">
        <v>155</v>
      </c>
      <c r="J234" s="6" t="inlineStr">
        <is>
          <t>pohyb (nekrátí se)</t>
        </is>
      </c>
    </row>
    <row r="235">
      <c r="A235" s="7" t="n"/>
      <c r="B235" s="7" t="n"/>
      <c r="C235" s="7" t="n"/>
      <c r="D235" s="4" t="inlineStr">
        <is>
          <t>Tel.srážka</t>
        </is>
      </c>
      <c r="E235" s="5" t="n">
        <v>-83</v>
      </c>
      <c r="F235" s="5" t="n">
        <v>0</v>
      </c>
      <c r="G235" s="5" t="n">
        <v>-83</v>
      </c>
      <c r="H235" s="5" t="n">
        <v>0</v>
      </c>
      <c r="I235" s="13" t="n">
        <v>-83</v>
      </c>
      <c r="J235" s="6" t="inlineStr">
        <is>
          <t>pohyb (nekrátí se)</t>
        </is>
      </c>
    </row>
    <row r="236">
      <c r="A236" s="8" t="n"/>
      <c r="B236" s="8" t="n"/>
      <c r="C236" s="8" t="n"/>
      <c r="D236" s="9" t="inlineStr">
        <is>
          <t>CELKEM</t>
        </is>
      </c>
      <c r="E236" s="10" t="n">
        <v>33328</v>
      </c>
      <c r="F236" s="10" t="n">
        <v>-2224</v>
      </c>
      <c r="G236" s="10" t="n">
        <v>31104</v>
      </c>
      <c r="H236" s="10" t="n">
        <v>27665</v>
      </c>
      <c r="I236" s="14" t="n">
        <v>3439</v>
      </c>
      <c r="J236" s="9" t="inlineStr"/>
    </row>
    <row r="237">
      <c r="A237" s="2" t="inlineStr">
        <is>
          <t>ES</t>
        </is>
      </c>
      <c r="B237" s="2" t="inlineStr">
        <is>
          <t>494</t>
        </is>
      </c>
      <c r="C237" s="3" t="inlineStr">
        <is>
          <t>Pavel Egermaier</t>
        </is>
      </c>
      <c r="D237" s="4" t="inlineStr">
        <is>
          <t>Základní mzda</t>
        </is>
      </c>
      <c r="E237" s="5" t="n">
        <v>28500</v>
      </c>
      <c r="F237" s="12" t="n">
        <v>-19655</v>
      </c>
      <c r="G237" s="5" t="n">
        <v>8845</v>
      </c>
      <c r="H237" s="5" t="n">
        <v>9203</v>
      </c>
      <c r="I237" s="13" t="n">
        <v>-358</v>
      </c>
      <c r="J237" s="6" t="inlineStr">
        <is>
          <t>odprac. 54/174.0h, +25h náhr.</t>
        </is>
      </c>
    </row>
    <row r="238">
      <c r="A238" s="7" t="n"/>
      <c r="B238" s="7" t="n"/>
      <c r="C238" s="7" t="n"/>
      <c r="D238" s="4" t="inlineStr">
        <is>
          <t>Osobní ohodnocení</t>
        </is>
      </c>
      <c r="E238" s="5" t="n">
        <v>1642</v>
      </c>
      <c r="F238" s="12" t="n">
        <v>-1132</v>
      </c>
      <c r="G238" s="5" t="n">
        <v>510</v>
      </c>
      <c r="H238" s="5" t="n">
        <v>530</v>
      </c>
      <c r="I238" s="13" t="n">
        <v>-20</v>
      </c>
      <c r="J238" s="6" t="inlineStr"/>
    </row>
    <row r="239">
      <c r="A239" s="7" t="n"/>
      <c r="B239" s="7" t="n"/>
      <c r="C239" s="7" t="n"/>
      <c r="D239" s="4" t="inlineStr">
        <is>
          <t>Prémie</t>
        </is>
      </c>
      <c r="E239" s="5" t="n">
        <v>0</v>
      </c>
      <c r="F239" s="5" t="n">
        <v>0</v>
      </c>
      <c r="G239" s="5" t="n">
        <v>0</v>
      </c>
      <c r="H239" s="5" t="n">
        <v>0</v>
      </c>
      <c r="I239" s="5" t="n">
        <v>0</v>
      </c>
      <c r="J239" s="6" t="inlineStr">
        <is>
          <t>přesčas řešen v prémii</t>
        </is>
      </c>
    </row>
    <row r="240">
      <c r="A240" s="7" t="n"/>
      <c r="B240" s="7" t="n"/>
      <c r="C240" s="7" t="n"/>
      <c r="D240" s="4" t="inlineStr">
        <is>
          <t>Oblečení</t>
        </is>
      </c>
      <c r="E240" s="5" t="n">
        <v>2441</v>
      </c>
      <c r="F240" s="5" t="n">
        <v>0</v>
      </c>
      <c r="G240" s="5" t="n">
        <v>2441</v>
      </c>
      <c r="H240" s="5" t="n">
        <v>0</v>
      </c>
      <c r="I240" s="13" t="n">
        <v>2441</v>
      </c>
      <c r="J240" s="6" t="inlineStr">
        <is>
          <t>pohyb (nekrátí se)</t>
        </is>
      </c>
    </row>
    <row r="241">
      <c r="A241" s="8" t="n"/>
      <c r="B241" s="8" t="n"/>
      <c r="C241" s="8" t="n"/>
      <c r="D241" s="9" t="inlineStr">
        <is>
          <t>CELKEM</t>
        </is>
      </c>
      <c r="E241" s="10" t="n">
        <v>32583</v>
      </c>
      <c r="F241" s="10" t="n">
        <v>-20787</v>
      </c>
      <c r="G241" s="10" t="n">
        <v>11796</v>
      </c>
      <c r="H241" s="10" t="n">
        <v>9733</v>
      </c>
      <c r="I241" s="14" t="n">
        <v>2063</v>
      </c>
      <c r="J241" s="9" t="inlineStr"/>
    </row>
    <row r="242">
      <c r="A242" s="2" t="inlineStr">
        <is>
          <t>ES</t>
        </is>
      </c>
      <c r="B242" s="2" t="inlineStr">
        <is>
          <t>496</t>
        </is>
      </c>
      <c r="C242" s="3" t="inlineStr">
        <is>
          <t>Simona Urbanová</t>
        </is>
      </c>
      <c r="D242" s="4" t="inlineStr">
        <is>
          <t>Základní mzda</t>
        </is>
      </c>
      <c r="E242" s="5" t="n">
        <v>25000</v>
      </c>
      <c r="F242" s="12" t="n">
        <v>-862</v>
      </c>
      <c r="G242" s="5" t="n">
        <v>24138</v>
      </c>
      <c r="H242" s="5" t="n">
        <v>25000</v>
      </c>
      <c r="I242" s="13" t="n">
        <v>-862</v>
      </c>
      <c r="J242" s="6" t="inlineStr">
        <is>
          <t>odprac. 168/174.0h</t>
        </is>
      </c>
    </row>
    <row r="243">
      <c r="A243" s="7" t="n"/>
      <c r="B243" s="7" t="n"/>
      <c r="C243" s="7" t="n"/>
      <c r="D243" s="4" t="inlineStr">
        <is>
          <t>Osobní ohodnocení</t>
        </is>
      </c>
      <c r="E243" s="5" t="n">
        <v>1641</v>
      </c>
      <c r="F243" s="12" t="n">
        <v>-57</v>
      </c>
      <c r="G243" s="5" t="n">
        <v>1584</v>
      </c>
      <c r="H243" s="5" t="n">
        <v>2641</v>
      </c>
      <c r="I243" s="13" t="n">
        <v>-1057</v>
      </c>
      <c r="J243" s="6" t="inlineStr"/>
    </row>
    <row r="244">
      <c r="A244" s="7" t="n"/>
      <c r="B244" s="7" t="n"/>
      <c r="C244" s="7" t="n"/>
      <c r="D244" s="4" t="inlineStr">
        <is>
          <t>Prémie</t>
        </is>
      </c>
      <c r="E244" s="5" t="n">
        <v>1000</v>
      </c>
      <c r="F244" s="5" t="n">
        <v>0</v>
      </c>
      <c r="G244" s="5" t="n">
        <v>1000</v>
      </c>
      <c r="H244" s="5" t="n">
        <v>2180</v>
      </c>
      <c r="I244" s="13" t="n">
        <v>-1180</v>
      </c>
      <c r="J244" s="6" t="inlineStr">
        <is>
          <t>přesčas řešen v prémii</t>
        </is>
      </c>
    </row>
    <row r="245">
      <c r="A245" s="7" t="n"/>
      <c r="B245" s="7" t="n"/>
      <c r="C245" s="7" t="n"/>
      <c r="D245" s="4" t="inlineStr">
        <is>
          <t>Oblečení</t>
        </is>
      </c>
      <c r="E245" s="5" t="n">
        <v>5859</v>
      </c>
      <c r="F245" s="5" t="n">
        <v>0</v>
      </c>
      <c r="G245" s="5" t="n">
        <v>5859</v>
      </c>
      <c r="H245" s="5" t="n">
        <v>0</v>
      </c>
      <c r="I245" s="13" t="n">
        <v>5859</v>
      </c>
      <c r="J245" s="6" t="inlineStr">
        <is>
          <t>pohyb (nekrátí se)</t>
        </is>
      </c>
    </row>
    <row r="246">
      <c r="A246" s="8" t="n"/>
      <c r="B246" s="8" t="n"/>
      <c r="C246" s="8" t="n"/>
      <c r="D246" s="9" t="inlineStr">
        <is>
          <t>CELKEM</t>
        </is>
      </c>
      <c r="E246" s="10" t="n">
        <v>33500</v>
      </c>
      <c r="F246" s="10" t="n">
        <v>-919</v>
      </c>
      <c r="G246" s="10" t="n">
        <v>32581</v>
      </c>
      <c r="H246" s="10" t="n">
        <v>29821</v>
      </c>
      <c r="I246" s="14" t="n">
        <v>2760</v>
      </c>
      <c r="J246" s="9" t="inlineStr"/>
    </row>
    <row r="247">
      <c r="A247" s="2" t="inlineStr">
        <is>
          <t>ES</t>
        </is>
      </c>
      <c r="B247" s="2" t="inlineStr">
        <is>
          <t>498</t>
        </is>
      </c>
      <c r="C247" s="3" t="inlineStr">
        <is>
          <t>Josef Artim</t>
        </is>
      </c>
      <c r="D247" s="4" t="inlineStr">
        <is>
          <t>Základní mzda</t>
        </is>
      </c>
      <c r="E247" s="5" t="n">
        <v>30000</v>
      </c>
      <c r="F247" s="12" t="n">
        <v>-4483</v>
      </c>
      <c r="G247" s="5" t="n">
        <v>25517</v>
      </c>
      <c r="H247" s="5" t="n">
        <v>26429</v>
      </c>
      <c r="I247" s="13" t="n">
        <v>-912</v>
      </c>
      <c r="J247" s="6" t="inlineStr">
        <is>
          <t>odprac. 148/174.0h, +20h náhr.</t>
        </is>
      </c>
    </row>
    <row r="248">
      <c r="A248" s="7" t="n"/>
      <c r="B248" s="7" t="n"/>
      <c r="C248" s="7" t="n"/>
      <c r="D248" s="4" t="inlineStr">
        <is>
          <t>Osobní ohodnocení</t>
        </is>
      </c>
      <c r="E248" s="5" t="n">
        <v>1640</v>
      </c>
      <c r="F248" s="12" t="n">
        <v>-245</v>
      </c>
      <c r="G248" s="5" t="n">
        <v>1395</v>
      </c>
      <c r="H248" s="5" t="n">
        <v>1445</v>
      </c>
      <c r="I248" s="13" t="n">
        <v>-50</v>
      </c>
      <c r="J248" s="6" t="inlineStr"/>
    </row>
    <row r="249">
      <c r="A249" s="7" t="n"/>
      <c r="B249" s="7" t="n"/>
      <c r="C249" s="7" t="n"/>
      <c r="D249" s="4" t="inlineStr">
        <is>
          <t>Prémie</t>
        </is>
      </c>
      <c r="E249" s="5" t="n">
        <v>0</v>
      </c>
      <c r="F249" s="5" t="n">
        <v>0</v>
      </c>
      <c r="G249" s="5" t="n">
        <v>0</v>
      </c>
      <c r="H249" s="5" t="n">
        <v>50</v>
      </c>
      <c r="I249" s="13" t="n">
        <v>-50</v>
      </c>
      <c r="J249" s="6" t="inlineStr">
        <is>
          <t>přesčas řešen v prémii</t>
        </is>
      </c>
    </row>
    <row r="250">
      <c r="A250" s="7" t="n"/>
      <c r="B250" s="7" t="n"/>
      <c r="C250" s="7" t="n"/>
      <c r="D250" s="4" t="inlineStr">
        <is>
          <t>Oblečení</t>
        </is>
      </c>
      <c r="E250" s="5" t="n">
        <v>5162</v>
      </c>
      <c r="F250" s="5" t="n">
        <v>0</v>
      </c>
      <c r="G250" s="5" t="n">
        <v>5162</v>
      </c>
      <c r="H250" s="5" t="n">
        <v>0</v>
      </c>
      <c r="I250" s="13" t="n">
        <v>5162</v>
      </c>
      <c r="J250" s="6" t="inlineStr">
        <is>
          <t>pohyb (nekrátí se)</t>
        </is>
      </c>
    </row>
    <row r="251">
      <c r="A251" s="8" t="n"/>
      <c r="B251" s="8" t="n"/>
      <c r="C251" s="8" t="n"/>
      <c r="D251" s="9" t="inlineStr">
        <is>
          <t>CELKEM</t>
        </is>
      </c>
      <c r="E251" s="10" t="n">
        <v>36802</v>
      </c>
      <c r="F251" s="10" t="n">
        <v>-4728</v>
      </c>
      <c r="G251" s="10" t="n">
        <v>32074</v>
      </c>
      <c r="H251" s="10" t="n">
        <v>27924</v>
      </c>
      <c r="I251" s="14" t="n">
        <v>4150</v>
      </c>
      <c r="J251" s="9" t="inlineStr"/>
    </row>
    <row r="252">
      <c r="A252" s="2" t="inlineStr">
        <is>
          <t>ES</t>
        </is>
      </c>
      <c r="B252" s="2" t="inlineStr">
        <is>
          <t>501</t>
        </is>
      </c>
      <c r="C252" s="3" t="inlineStr">
        <is>
          <t>Vojtěch Purkar</t>
        </is>
      </c>
      <c r="D252" s="4" t="inlineStr">
        <is>
          <t>Základní mzda</t>
        </is>
      </c>
      <c r="E252" s="5" t="n">
        <v>30000</v>
      </c>
      <c r="F252" s="12" t="n">
        <v>-1034</v>
      </c>
      <c r="G252" s="5" t="n">
        <v>28966</v>
      </c>
      <c r="H252" s="5" t="n">
        <v>30000</v>
      </c>
      <c r="I252" s="13" t="n">
        <v>-1034</v>
      </c>
      <c r="J252" s="6" t="inlineStr">
        <is>
          <t>odprac. 168/174.0h</t>
        </is>
      </c>
    </row>
    <row r="253">
      <c r="A253" s="7" t="n"/>
      <c r="B253" s="7" t="n"/>
      <c r="C253" s="7" t="n"/>
      <c r="D253" s="4" t="inlineStr">
        <is>
          <t>Osobní ohodnocení</t>
        </is>
      </c>
      <c r="E253" s="5" t="n">
        <v>1641</v>
      </c>
      <c r="F253" s="12" t="n">
        <v>-57</v>
      </c>
      <c r="G253" s="5" t="n">
        <v>1584</v>
      </c>
      <c r="H253" s="5" t="n">
        <v>1641</v>
      </c>
      <c r="I253" s="13" t="n">
        <v>-57</v>
      </c>
      <c r="J253" s="6" t="inlineStr"/>
    </row>
    <row r="254">
      <c r="A254" s="7" t="n"/>
      <c r="B254" s="7" t="n"/>
      <c r="C254" s="7" t="n"/>
      <c r="D254" s="4" t="inlineStr">
        <is>
          <t>Prémie</t>
        </is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6" t="inlineStr">
        <is>
          <t>přesčas řešen v prémii</t>
        </is>
      </c>
    </row>
    <row r="255">
      <c r="A255" s="7" t="n"/>
      <c r="B255" s="7" t="n"/>
      <c r="C255" s="7" t="n"/>
      <c r="D255" s="4" t="inlineStr">
        <is>
          <t>Oblečení</t>
        </is>
      </c>
      <c r="E255" s="5" t="n">
        <v>5859</v>
      </c>
      <c r="F255" s="5" t="n">
        <v>0</v>
      </c>
      <c r="G255" s="5" t="n">
        <v>5859</v>
      </c>
      <c r="H255" s="5" t="n">
        <v>0</v>
      </c>
      <c r="I255" s="13" t="n">
        <v>5859</v>
      </c>
      <c r="J255" s="6" t="inlineStr">
        <is>
          <t>pohyb (nekrátí se)</t>
        </is>
      </c>
    </row>
    <row r="256">
      <c r="A256" s="8" t="n"/>
      <c r="B256" s="8" t="n"/>
      <c r="C256" s="8" t="n"/>
      <c r="D256" s="9" t="inlineStr">
        <is>
          <t>CELKEM</t>
        </is>
      </c>
      <c r="E256" s="10" t="n">
        <v>37500</v>
      </c>
      <c r="F256" s="10" t="n">
        <v>-1091</v>
      </c>
      <c r="G256" s="10" t="n">
        <v>36409</v>
      </c>
      <c r="H256" s="10" t="n">
        <v>31641</v>
      </c>
      <c r="I256" s="14" t="n">
        <v>4768</v>
      </c>
      <c r="J256" s="9" t="inlineStr"/>
    </row>
    <row r="257">
      <c r="A257" s="2" t="inlineStr">
        <is>
          <t>ES</t>
        </is>
      </c>
      <c r="B257" s="2" t="inlineStr">
        <is>
          <t>502</t>
        </is>
      </c>
      <c r="C257" s="3" t="inlineStr">
        <is>
          <t>Jakub Pěchouček</t>
        </is>
      </c>
      <c r="D257" s="4" t="inlineStr">
        <is>
          <t>Základní mzda</t>
        </is>
      </c>
      <c r="E257" s="5" t="n">
        <v>30000</v>
      </c>
      <c r="F257" s="12" t="n">
        <v>-3103</v>
      </c>
      <c r="G257" s="5" t="n">
        <v>26897</v>
      </c>
      <c r="H257" s="5" t="n">
        <v>27857</v>
      </c>
      <c r="I257" s="13" t="n">
        <v>-960</v>
      </c>
      <c r="J257" s="6" t="inlineStr">
        <is>
          <t>odprac. 156/174.0h, +12h náhr.</t>
        </is>
      </c>
    </row>
    <row r="258">
      <c r="A258" s="7" t="n"/>
      <c r="B258" s="7" t="n"/>
      <c r="C258" s="7" t="n"/>
      <c r="D258" s="4" t="inlineStr">
        <is>
          <t>Osobní ohodnocení</t>
        </is>
      </c>
      <c r="E258" s="5" t="n">
        <v>1640</v>
      </c>
      <c r="F258" s="12" t="n">
        <v>-170</v>
      </c>
      <c r="G258" s="5" t="n">
        <v>1470</v>
      </c>
      <c r="H258" s="5" t="n">
        <v>1523</v>
      </c>
      <c r="I258" s="13" t="n">
        <v>-53</v>
      </c>
      <c r="J258" s="6" t="inlineStr"/>
    </row>
    <row r="259">
      <c r="A259" s="7" t="n"/>
      <c r="B259" s="7" t="n"/>
      <c r="C259" s="7" t="n"/>
      <c r="D259" s="4" t="inlineStr">
        <is>
          <t>Prémie</t>
        </is>
      </c>
      <c r="E259" s="5" t="n">
        <v>0</v>
      </c>
      <c r="F259" s="5" t="n">
        <v>0</v>
      </c>
      <c r="G259" s="5" t="n">
        <v>0</v>
      </c>
      <c r="H259" s="5" t="n">
        <v>620</v>
      </c>
      <c r="I259" s="13" t="n">
        <v>-620</v>
      </c>
      <c r="J259" s="6" t="inlineStr">
        <is>
          <t>přesčas řešen v prémii</t>
        </is>
      </c>
    </row>
    <row r="260">
      <c r="A260" s="7" t="n"/>
      <c r="B260" s="7" t="n"/>
      <c r="C260" s="7" t="n"/>
      <c r="D260" s="4" t="inlineStr">
        <is>
          <t>Oblečení</t>
        </is>
      </c>
      <c r="E260" s="5" t="n">
        <v>5441</v>
      </c>
      <c r="F260" s="5" t="n">
        <v>0</v>
      </c>
      <c r="G260" s="5" t="n">
        <v>5441</v>
      </c>
      <c r="H260" s="5" t="n">
        <v>0</v>
      </c>
      <c r="I260" s="13" t="n">
        <v>5441</v>
      </c>
      <c r="J260" s="6" t="inlineStr">
        <is>
          <t>pohyb (nekrátí se)</t>
        </is>
      </c>
    </row>
    <row r="261">
      <c r="A261" s="8" t="n"/>
      <c r="B261" s="8" t="n"/>
      <c r="C261" s="8" t="n"/>
      <c r="D261" s="9" t="inlineStr">
        <is>
          <t>CELKEM</t>
        </is>
      </c>
      <c r="E261" s="10" t="n">
        <v>37081</v>
      </c>
      <c r="F261" s="10" t="n">
        <v>-3273</v>
      </c>
      <c r="G261" s="10" t="n">
        <v>33808</v>
      </c>
      <c r="H261" s="10" t="n">
        <v>30000</v>
      </c>
      <c r="I261" s="14" t="n">
        <v>3808</v>
      </c>
      <c r="J261" s="9" t="inlineStr"/>
    </row>
    <row r="262">
      <c r="A262" s="2" t="inlineStr">
        <is>
          <t>ES</t>
        </is>
      </c>
      <c r="B262" s="2" t="inlineStr">
        <is>
          <t>515</t>
        </is>
      </c>
      <c r="C262" s="3" t="inlineStr">
        <is>
          <t>Václav Vápeník</t>
        </is>
      </c>
      <c r="D262" s="4" t="inlineStr">
        <is>
          <t>Základní mzda</t>
        </is>
      </c>
      <c r="E262" s="5" t="n">
        <v>32000</v>
      </c>
      <c r="F262" s="12" t="n">
        <v>-2575</v>
      </c>
      <c r="G262" s="5" t="n">
        <v>29425</v>
      </c>
      <c r="H262" s="5" t="n">
        <v>30476</v>
      </c>
      <c r="I262" s="13" t="n">
        <v>-1051</v>
      </c>
      <c r="J262" s="6" t="inlineStr">
        <is>
          <t>odprac. 160/174.0h, +8h náhr.</t>
        </is>
      </c>
    </row>
    <row r="263">
      <c r="A263" s="7" t="n"/>
      <c r="B263" s="7" t="n"/>
      <c r="C263" s="7" t="n"/>
      <c r="D263" s="4" t="inlineStr">
        <is>
          <t>Osobní ohodnocení</t>
        </is>
      </c>
      <c r="E263" s="5" t="n">
        <v>641</v>
      </c>
      <c r="F263" s="12" t="n">
        <v>-52</v>
      </c>
      <c r="G263" s="5" t="n">
        <v>589</v>
      </c>
      <c r="H263" s="5" t="n">
        <v>610</v>
      </c>
      <c r="I263" s="13" t="n">
        <v>-21</v>
      </c>
      <c r="J263" s="6" t="inlineStr"/>
    </row>
    <row r="264">
      <c r="A264" s="7" t="n"/>
      <c r="B264" s="7" t="n"/>
      <c r="C264" s="7" t="n"/>
      <c r="D264" s="4" t="inlineStr">
        <is>
          <t>Prémie</t>
        </is>
      </c>
      <c r="E264" s="5" t="n">
        <v>0</v>
      </c>
      <c r="F264" s="5" t="n">
        <v>0</v>
      </c>
      <c r="G264" s="5" t="n">
        <v>0</v>
      </c>
      <c r="H264" s="5" t="n">
        <v>355</v>
      </c>
      <c r="I264" s="13" t="n">
        <v>-355</v>
      </c>
      <c r="J264" s="6" t="inlineStr">
        <is>
          <t>přesčas řešen v prémii</t>
        </is>
      </c>
    </row>
    <row r="265">
      <c r="A265" s="7" t="n"/>
      <c r="B265" s="7" t="n"/>
      <c r="C265" s="7" t="n"/>
      <c r="D265" s="4" t="inlineStr">
        <is>
          <t>Oblečení</t>
        </is>
      </c>
      <c r="E265" s="5" t="n">
        <v>5580</v>
      </c>
      <c r="F265" s="5" t="n">
        <v>0</v>
      </c>
      <c r="G265" s="5" t="n">
        <v>5580</v>
      </c>
      <c r="H265" s="5" t="n">
        <v>0</v>
      </c>
      <c r="I265" s="13" t="n">
        <v>5580</v>
      </c>
      <c r="J265" s="6" t="inlineStr">
        <is>
          <t>pohyb (nekrátí se)</t>
        </is>
      </c>
    </row>
    <row r="266">
      <c r="A266" s="8" t="n"/>
      <c r="B266" s="8" t="n"/>
      <c r="C266" s="8" t="n"/>
      <c r="D266" s="9" t="inlineStr">
        <is>
          <t>CELKEM</t>
        </is>
      </c>
      <c r="E266" s="10" t="n">
        <v>38221</v>
      </c>
      <c r="F266" s="10" t="n">
        <v>-2627</v>
      </c>
      <c r="G266" s="10" t="n">
        <v>35594</v>
      </c>
      <c r="H266" s="10" t="n">
        <v>31441</v>
      </c>
      <c r="I266" s="14" t="n">
        <v>4153</v>
      </c>
      <c r="J266" s="9" t="inlineStr"/>
    </row>
    <row r="267">
      <c r="A267" s="2" t="inlineStr">
        <is>
          <t>ES</t>
        </is>
      </c>
      <c r="B267" s="2" t="inlineStr">
        <is>
          <t>517</t>
        </is>
      </c>
      <c r="C267" s="3" t="inlineStr">
        <is>
          <t>Martin Valenta</t>
        </is>
      </c>
      <c r="D267" s="4" t="inlineStr">
        <is>
          <t>Základní mzda</t>
        </is>
      </c>
      <c r="E267" s="5" t="n">
        <v>30000</v>
      </c>
      <c r="F267" s="12" t="n">
        <v>-1034</v>
      </c>
      <c r="G267" s="5" t="n">
        <v>28966</v>
      </c>
      <c r="H267" s="5" t="n">
        <v>30000</v>
      </c>
      <c r="I267" s="13" t="n">
        <v>-1034</v>
      </c>
      <c r="J267" s="6" t="inlineStr">
        <is>
          <t>odprac. 168/174.0h</t>
        </is>
      </c>
    </row>
    <row r="268">
      <c r="A268" s="7" t="n"/>
      <c r="B268" s="7" t="n"/>
      <c r="C268" s="7" t="n"/>
      <c r="D268" s="4" t="inlineStr">
        <is>
          <t>Osobní ohodnocení</t>
        </is>
      </c>
      <c r="E268" s="5" t="n">
        <v>1641</v>
      </c>
      <c r="F268" s="12" t="n">
        <v>-57</v>
      </c>
      <c r="G268" s="5" t="n">
        <v>1584</v>
      </c>
      <c r="H268" s="5" t="n">
        <v>1641</v>
      </c>
      <c r="I268" s="13" t="n">
        <v>-57</v>
      </c>
      <c r="J268" s="6" t="inlineStr"/>
    </row>
    <row r="269">
      <c r="A269" s="7" t="n"/>
      <c r="B269" s="7" t="n"/>
      <c r="C269" s="7" t="n"/>
      <c r="D269" s="4" t="inlineStr">
        <is>
          <t>Prémie</t>
        </is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6" t="inlineStr">
        <is>
          <t>přesčas řešen v prémii</t>
        </is>
      </c>
    </row>
    <row r="270">
      <c r="A270" s="7" t="n"/>
      <c r="B270" s="7" t="n"/>
      <c r="C270" s="7" t="n"/>
      <c r="D270" s="4" t="inlineStr">
        <is>
          <t>Oblečení</t>
        </is>
      </c>
      <c r="E270" s="5" t="n">
        <v>5859</v>
      </c>
      <c r="F270" s="5" t="n">
        <v>0</v>
      </c>
      <c r="G270" s="5" t="n">
        <v>5859</v>
      </c>
      <c r="H270" s="5" t="n">
        <v>0</v>
      </c>
      <c r="I270" s="13" t="n">
        <v>5859</v>
      </c>
      <c r="J270" s="6" t="inlineStr">
        <is>
          <t>pohyb (nekrátí se)</t>
        </is>
      </c>
    </row>
    <row r="271">
      <c r="A271" s="7" t="n"/>
      <c r="B271" s="7" t="n"/>
      <c r="C271" s="7" t="n"/>
      <c r="D271" s="4" t="inlineStr">
        <is>
          <t>Cestovné</t>
        </is>
      </c>
      <c r="E271" s="5" t="n">
        <v>2790</v>
      </c>
      <c r="F271" s="5" t="n">
        <v>0</v>
      </c>
      <c r="G271" s="5" t="n">
        <v>2790</v>
      </c>
      <c r="H271" s="5" t="n">
        <v>0</v>
      </c>
      <c r="I271" s="13" t="n">
        <v>2790</v>
      </c>
      <c r="J271" s="6" t="inlineStr">
        <is>
          <t>pohyb (nekrátí se)</t>
        </is>
      </c>
    </row>
    <row r="272">
      <c r="A272" s="8" t="n"/>
      <c r="B272" s="8" t="n"/>
      <c r="C272" s="8" t="n"/>
      <c r="D272" s="9" t="inlineStr">
        <is>
          <t>CELKEM</t>
        </is>
      </c>
      <c r="E272" s="10" t="n">
        <v>40290</v>
      </c>
      <c r="F272" s="10" t="n">
        <v>-1091</v>
      </c>
      <c r="G272" s="10" t="n">
        <v>39199</v>
      </c>
      <c r="H272" s="10" t="n">
        <v>31641</v>
      </c>
      <c r="I272" s="14" t="n">
        <v>7558</v>
      </c>
      <c r="J272" s="9" t="inlineStr"/>
    </row>
    <row r="273">
      <c r="A273" s="2" t="inlineStr">
        <is>
          <t>ES</t>
        </is>
      </c>
      <c r="B273" s="2" t="inlineStr">
        <is>
          <t>522</t>
        </is>
      </c>
      <c r="C273" s="3" t="inlineStr">
        <is>
          <t>Petr Čiviš</t>
        </is>
      </c>
      <c r="D273" s="4" t="inlineStr">
        <is>
          <t>Základní mzda</t>
        </is>
      </c>
      <c r="E273" s="5" t="n">
        <v>32500</v>
      </c>
      <c r="F273" s="12" t="n">
        <v>-1121</v>
      </c>
      <c r="G273" s="5" t="n">
        <v>31379</v>
      </c>
      <c r="H273" s="5" t="n">
        <v>32500</v>
      </c>
      <c r="I273" s="13" t="n">
        <v>-1121</v>
      </c>
      <c r="J273" s="6" t="inlineStr">
        <is>
          <t>odprac. 168/174.0h</t>
        </is>
      </c>
    </row>
    <row r="274">
      <c r="A274" s="7" t="n"/>
      <c r="B274" s="7" t="n"/>
      <c r="C274" s="7" t="n"/>
      <c r="D274" s="4" t="inlineStr">
        <is>
          <t>Osobní ohodnocení</t>
        </is>
      </c>
      <c r="E274" s="5" t="n">
        <v>1641</v>
      </c>
      <c r="F274" s="12" t="n">
        <v>-57</v>
      </c>
      <c r="G274" s="5" t="n">
        <v>1584</v>
      </c>
      <c r="H274" s="5" t="n">
        <v>2641</v>
      </c>
      <c r="I274" s="13" t="n">
        <v>-1057</v>
      </c>
      <c r="J274" s="6" t="inlineStr"/>
    </row>
    <row r="275">
      <c r="A275" s="7" t="n"/>
      <c r="B275" s="7" t="n"/>
      <c r="C275" s="7" t="n"/>
      <c r="D275" s="4" t="inlineStr">
        <is>
          <t>Prémie</t>
        </is>
      </c>
      <c r="E275" s="5" t="n">
        <v>1000</v>
      </c>
      <c r="F275" s="5" t="n">
        <v>0</v>
      </c>
      <c r="G275" s="5" t="n">
        <v>1000</v>
      </c>
      <c r="H275" s="5" t="n">
        <v>0</v>
      </c>
      <c r="I275" s="13" t="n">
        <v>1000</v>
      </c>
      <c r="J275" s="6" t="inlineStr">
        <is>
          <t>přesčas řešen v prémii</t>
        </is>
      </c>
    </row>
    <row r="276">
      <c r="A276" s="7" t="n"/>
      <c r="B276" s="7" t="n"/>
      <c r="C276" s="7" t="n"/>
      <c r="D276" s="4" t="inlineStr">
        <is>
          <t>Oblečení</t>
        </is>
      </c>
      <c r="E276" s="5" t="n">
        <v>5859</v>
      </c>
      <c r="F276" s="5" t="n">
        <v>0</v>
      </c>
      <c r="G276" s="5" t="n">
        <v>5859</v>
      </c>
      <c r="H276" s="5" t="n">
        <v>0</v>
      </c>
      <c r="I276" s="13" t="n">
        <v>5859</v>
      </c>
      <c r="J276" s="6" t="inlineStr">
        <is>
          <t>pohyb (nekrátí se)</t>
        </is>
      </c>
    </row>
    <row r="277">
      <c r="A277" s="7" t="n"/>
      <c r="B277" s="7" t="n"/>
      <c r="C277" s="7" t="n"/>
      <c r="D277" s="4" t="inlineStr">
        <is>
          <t>Cestovné</t>
        </is>
      </c>
      <c r="E277" s="5" t="n">
        <v>2170</v>
      </c>
      <c r="F277" s="5" t="n">
        <v>0</v>
      </c>
      <c r="G277" s="5" t="n">
        <v>2170</v>
      </c>
      <c r="H277" s="5" t="n">
        <v>0</v>
      </c>
      <c r="I277" s="13" t="n">
        <v>2170</v>
      </c>
      <c r="J277" s="6" t="inlineStr">
        <is>
          <t>pohyb (nekrátí se)</t>
        </is>
      </c>
    </row>
    <row r="278">
      <c r="A278" s="8" t="n"/>
      <c r="B278" s="8" t="n"/>
      <c r="C278" s="8" t="n"/>
      <c r="D278" s="9" t="inlineStr">
        <is>
          <t>CELKEM</t>
        </is>
      </c>
      <c r="E278" s="10" t="n">
        <v>43170</v>
      </c>
      <c r="F278" s="10" t="n">
        <v>-1178</v>
      </c>
      <c r="G278" s="10" t="n">
        <v>41992</v>
      </c>
      <c r="H278" s="10" t="n">
        <v>35141</v>
      </c>
      <c r="I278" s="14" t="n">
        <v>6851</v>
      </c>
      <c r="J278" s="9" t="inlineStr"/>
    </row>
  </sheetData>
  <mergeCells count="150">
    <mergeCell ref="C167:C171"/>
    <mergeCell ref="C198:C202"/>
    <mergeCell ref="A247:A251"/>
    <mergeCell ref="C247:C251"/>
    <mergeCell ref="C209:C213"/>
    <mergeCell ref="B155:B160"/>
    <mergeCell ref="B149:B154"/>
    <mergeCell ref="A121:A125"/>
    <mergeCell ref="A230:A236"/>
    <mergeCell ref="B59:B63"/>
    <mergeCell ref="A76:A79"/>
    <mergeCell ref="C76:C79"/>
    <mergeCell ref="C47:C52"/>
    <mergeCell ref="A267:A272"/>
    <mergeCell ref="A219:A224"/>
    <mergeCell ref="A91:A94"/>
    <mergeCell ref="C91:C94"/>
    <mergeCell ref="B143:B148"/>
    <mergeCell ref="B19:B26"/>
    <mergeCell ref="A40:A46"/>
    <mergeCell ref="B53:B58"/>
    <mergeCell ref="A198:A202"/>
    <mergeCell ref="A203:A208"/>
    <mergeCell ref="C203:C208"/>
    <mergeCell ref="A237:A241"/>
    <mergeCell ref="A53:A58"/>
    <mergeCell ref="A69:A75"/>
    <mergeCell ref="C267:C272"/>
    <mergeCell ref="B95:B100"/>
    <mergeCell ref="A115:A120"/>
    <mergeCell ref="C59:C63"/>
    <mergeCell ref="C182:C186"/>
    <mergeCell ref="A36:A39"/>
    <mergeCell ref="A214:A218"/>
    <mergeCell ref="C214:C218"/>
    <mergeCell ref="B7:B12"/>
    <mergeCell ref="A2:A6"/>
    <mergeCell ref="C130:C136"/>
    <mergeCell ref="B230:B236"/>
    <mergeCell ref="A262:A266"/>
    <mergeCell ref="B40:B46"/>
    <mergeCell ref="C262:C266"/>
    <mergeCell ref="C69:C75"/>
    <mergeCell ref="A64:A68"/>
    <mergeCell ref="C115:C120"/>
    <mergeCell ref="A273:A278"/>
    <mergeCell ref="A32:A35"/>
    <mergeCell ref="A167:A171"/>
    <mergeCell ref="C273:C278"/>
    <mergeCell ref="B193:B197"/>
    <mergeCell ref="B209:B213"/>
    <mergeCell ref="C95:C100"/>
    <mergeCell ref="C108:C114"/>
    <mergeCell ref="B187:B192"/>
    <mergeCell ref="A225:A229"/>
    <mergeCell ref="C225:C229"/>
    <mergeCell ref="B27:B31"/>
    <mergeCell ref="B130:B136"/>
    <mergeCell ref="C121:C125"/>
    <mergeCell ref="A172:A176"/>
    <mergeCell ref="C172:C176"/>
    <mergeCell ref="C219:C224"/>
    <mergeCell ref="A252:A256"/>
    <mergeCell ref="B247:B251"/>
    <mergeCell ref="C64:C68"/>
    <mergeCell ref="A13:A18"/>
    <mergeCell ref="A27:A31"/>
    <mergeCell ref="C7:C12"/>
    <mergeCell ref="B126:B129"/>
    <mergeCell ref="C257:C261"/>
    <mergeCell ref="B262:B266"/>
    <mergeCell ref="B182:B186"/>
    <mergeCell ref="B85:B90"/>
    <mergeCell ref="B101:B107"/>
    <mergeCell ref="B32:B35"/>
    <mergeCell ref="A155:A160"/>
    <mergeCell ref="C155:C160"/>
    <mergeCell ref="C2:C6"/>
    <mergeCell ref="C40:C46"/>
    <mergeCell ref="C126:C129"/>
    <mergeCell ref="C27:C31"/>
    <mergeCell ref="B64:B68"/>
    <mergeCell ref="B177:B181"/>
    <mergeCell ref="B47:B52"/>
    <mergeCell ref="A101:A107"/>
    <mergeCell ref="B161:B166"/>
    <mergeCell ref="A187:A192"/>
    <mergeCell ref="B219:B224"/>
    <mergeCell ref="C187:C192"/>
    <mergeCell ref="A149:A154"/>
    <mergeCell ref="C85:C90"/>
    <mergeCell ref="C143:C148"/>
    <mergeCell ref="A59:A63"/>
    <mergeCell ref="A182:A186"/>
    <mergeCell ref="B237:B241"/>
    <mergeCell ref="A257:A261"/>
    <mergeCell ref="B267:B272"/>
    <mergeCell ref="A95:A100"/>
    <mergeCell ref="C36:C39"/>
    <mergeCell ref="B121:B125"/>
    <mergeCell ref="B137:B142"/>
    <mergeCell ref="C32:C35"/>
    <mergeCell ref="B36:B39"/>
    <mergeCell ref="A177:A181"/>
    <mergeCell ref="B214:B218"/>
    <mergeCell ref="C177:C181"/>
    <mergeCell ref="C252:C256"/>
    <mergeCell ref="A161:A166"/>
    <mergeCell ref="C230:C236"/>
    <mergeCell ref="C161:C166"/>
    <mergeCell ref="A80:A84"/>
    <mergeCell ref="C19:C26"/>
    <mergeCell ref="C13:C18"/>
    <mergeCell ref="C53:C58"/>
    <mergeCell ref="B203:B208"/>
    <mergeCell ref="A242:A246"/>
    <mergeCell ref="C242:C246"/>
    <mergeCell ref="B69:B75"/>
    <mergeCell ref="B115:B120"/>
    <mergeCell ref="B257:B261"/>
    <mergeCell ref="B273:B278"/>
    <mergeCell ref="A137:A142"/>
    <mergeCell ref="C237:C241"/>
    <mergeCell ref="C137:C142"/>
    <mergeCell ref="A209:A213"/>
    <mergeCell ref="A7:A12"/>
    <mergeCell ref="B108:B114"/>
    <mergeCell ref="B198:B202"/>
    <mergeCell ref="B80:B84"/>
    <mergeCell ref="A130:A136"/>
    <mergeCell ref="B252:B256"/>
    <mergeCell ref="B13:B18"/>
    <mergeCell ref="A126:A129"/>
    <mergeCell ref="B242:B246"/>
    <mergeCell ref="A85:A90"/>
    <mergeCell ref="A47:A52"/>
    <mergeCell ref="C101:C107"/>
    <mergeCell ref="B2:B6"/>
    <mergeCell ref="B167:B171"/>
    <mergeCell ref="A193:A197"/>
    <mergeCell ref="C193:C197"/>
    <mergeCell ref="C149:C154"/>
    <mergeCell ref="C80:C84"/>
    <mergeCell ref="A143:A148"/>
    <mergeCell ref="B76:B79"/>
    <mergeCell ref="B91:B94"/>
    <mergeCell ref="B225:B229"/>
    <mergeCell ref="A108:A114"/>
    <mergeCell ref="A19:A26"/>
    <mergeCell ref="B172:B17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5" t="inlineStr">
        <is>
          <t>DVOUŘÁDKOVÝ MZDOVÝ MODEL — STRATEGIE × HELIOS, květen 2026</t>
        </is>
      </c>
    </row>
    <row r="2">
      <c r="A2" t="inlineStr"/>
    </row>
    <row r="3">
      <c r="A3" t="inlineStr">
        <is>
          <t>Místo přímého krácení základu jsou u každé měsíční složky DVĚ linky (dle ZP):</t>
        </is>
      </c>
    </row>
    <row r="4">
      <c r="A4" t="inlineStr">
        <is>
          <t xml:space="preserve">  • DLE VÝMĚRU = plná smluvní částka (sedí 1:1 s mzdovým výměrem / EC podmínkami)</t>
        </is>
      </c>
    </row>
    <row r="5">
      <c r="A5" t="inlineStr">
        <is>
          <t xml:space="preserve">  • POMĚRNÁ ÚPRAVA = ± podle odpracované doby:  výměr × (odpracováno/fond − 1)</t>
        </is>
      </c>
    </row>
    <row r="6">
      <c r="A6" t="inlineStr">
        <is>
          <t xml:space="preserve">  • = ZA ODPRACOVANOU DOBU = součet obou (= poměrná část měsíční mzdy dle ZP)</t>
        </is>
      </c>
    </row>
    <row r="7">
      <c r="A7" t="inlineStr">
        <is>
          <t xml:space="preserve">  → tento součet sedí s Heliosem (sloupec Δ ≈ 0).</t>
        </is>
      </c>
    </row>
    <row r="8">
      <c r="A8" t="inlineStr"/>
    </row>
    <row r="9">
      <c r="A9" t="inlineStr">
        <is>
          <t>PRÁVNÍ PODKLAD (zákoník práce):</t>
        </is>
      </c>
    </row>
    <row r="10">
      <c r="A10" t="inlineStr">
        <is>
          <t xml:space="preserve">  Poměrná část měsíční mzdy = MMzda × odpracovaná doba / měsíční fond pracovní doby.</t>
        </is>
      </c>
    </row>
    <row r="11">
      <c r="A11" t="inlineStr">
        <is>
          <t xml:space="preserve">  Omluvené neodpracované hodiny (dovolená/lékař/svátek) = náhrada mzdy = vlastní složka.</t>
        </is>
      </c>
    </row>
    <row r="12">
      <c r="A12" t="inlineStr">
        <is>
          <t xml:space="preserve">  Přesčas (nad fond): řešen NAVÝŠENÍM PRÉMIE (firemní praxe), ne samostatnou složkou.</t>
        </is>
      </c>
    </row>
    <row r="13">
      <c r="A13" t="inlineStr"/>
    </row>
    <row r="14">
      <c r="A14" t="inlineStr">
        <is>
          <t>POMĚRNÁ ÚPRAVA SE TÝKÁ JEN: Základní mzda + Osobní ohodnocení.</t>
        </is>
      </c>
    </row>
    <row r="15">
      <c r="A15" t="inlineStr">
        <is>
          <t>Prémie, oblečení, HO, cestovné, tel.srážka = pohyby, NEkrátí se.</t>
        </is>
      </c>
    </row>
    <row r="16">
      <c r="A16" t="inlineStr"/>
    </row>
    <row r="17">
      <c r="A17" t="inlineStr">
        <is>
          <t>VARIABILNÍ ÚVAZKY (úklid, DPP, MD): nemají fixní fond → poměrná úprava se nepočítá</t>
        </is>
      </c>
    </row>
    <row r="18">
      <c r="A18" t="inlineStr">
        <is>
          <t xml:space="preserve">  (Herejtová, Senft, Šafránková). Platí se dle skutečnosti / paušálu.</t>
        </is>
      </c>
    </row>
    <row r="19">
      <c r="A19" t="inlineStr"/>
    </row>
    <row r="20">
      <c r="A20" t="inlineStr">
        <is>
          <t>Pozn.: obecný výklad, ne právní/mzdové poradenství — potvrdit se mzdovou účetní.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2026-06-11T19:56:27Z</dcterms:created>
  <dcterms:modified xmlns:dcterms="http://purl.org/dc/terms/" xmlns:xsi="http://www.w3.org/2001/XMLSchema-instance" xsi:type="dcterms:W3CDTF">2026-06-11T19:56:28Z</dcterms:modified>
</cp:coreProperties>
</file>