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ároky a čerpání 2026" sheetId="1" state="visible" r:id="rId3"/>
    <sheet name="Duplicity v docházce" sheetId="2" state="visible" r:id="rId4"/>
    <sheet name="Legenda" sheetId="3" state="visible" r:id="rId5"/>
  </sheets>
  <definedNames>
    <definedName function="false" hidden="true" localSheetId="0" name="_xlnm._FilterDatabase" vbProcedure="false">'Nároky a čerpání 2026'!$A$5:$Q$85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<sst xmlns="http://schemas.openxmlformats.org/spreadsheetml/2006/main" count="320" uniqueCount="182">
  <si>
    <t xml:space="preserve">Nároky na dovolenou a čerpání 2026 — porovnání se Šárkou (stav k 31. 5.)</t>
  </si>
  <si>
    <t xml:space="preserve">Nárok je spočítaný ze systému: HPP = 20 dnů ze zákona + firemní bonus · OSVČ = celý nárok smluvně, ve sloupci „navíc“.</t>
  </si>
  <si>
    <t xml:space="preserve">POZOR: čerpání je spočítané PO ODSTRANĚNÍ DUPLICIT. V docházce má 551 člověkodnů víc než jeden absenční záznam na tentýž den (až 4). Bez odstranění vycházelo čerpání skoro dvojnásobné.</t>
  </si>
  <si>
    <t xml:space="preserve">Číslo</t>
  </si>
  <si>
    <t xml:space="preserve">Jméno</t>
  </si>
  <si>
    <t xml:space="preserve">Typ</t>
  </si>
  <si>
    <t xml:space="preserve">Nástup</t>
  </si>
  <si>
    <t xml:space="preserve">Úvazek h/týd</t>
  </si>
  <si>
    <t xml:space="preserve">Standard (zákon)</t>
  </si>
  <si>
    <t xml:space="preserve">Navíc (firma)</t>
  </si>
  <si>
    <t xml:space="preserve">NÁROK spočítaný (dny)</t>
  </si>
  <si>
    <t xml:space="preserve">Šárka: nárok zákon</t>
  </si>
  <si>
    <t xml:space="preserve">Šárka: nárok navíc</t>
  </si>
  <si>
    <t xml:space="preserve">Šárka: čerpáno k 31.5. (dny)</t>
  </si>
  <si>
    <t xml:space="preserve">Moje: čerpáno k 31.5. (dny)</t>
  </si>
  <si>
    <t xml:space="preserve">Rozdíl (dny)</t>
  </si>
  <si>
    <t xml:space="preserve">Čerpáno celý 2026 (dny)</t>
  </si>
  <si>
    <t xml:space="preserve">Čerpáno celý 2026 (h)</t>
  </si>
  <si>
    <t xml:space="preserve">OPRAVA nároku (dny)</t>
  </si>
  <si>
    <t xml:space="preserve">Poznámka</t>
  </si>
  <si>
    <t xml:space="preserve">Petra Šafránková ml</t>
  </si>
  <si>
    <t xml:space="preserve">osvc</t>
  </si>
  <si>
    <t xml:space="preserve">01.05.2008</t>
  </si>
  <si>
    <t xml:space="preserve">Marti Pašek</t>
  </si>
  <si>
    <t xml:space="preserve">hpp</t>
  </si>
  <si>
    <t xml:space="preserve">29.08.2006</t>
  </si>
  <si>
    <t xml:space="preserve">HPP bez nároku</t>
  </si>
  <si>
    <t xml:space="preserve">Petr Beneš</t>
  </si>
  <si>
    <t xml:space="preserve">01.02.2025</t>
  </si>
  <si>
    <t xml:space="preserve">Radek Hellmayer</t>
  </si>
  <si>
    <t xml:space="preserve">01.02.2019</t>
  </si>
  <si>
    <t xml:space="preserve">(bez jména v evidenci)</t>
  </si>
  <si>
    <t xml:space="preserve">01.12.2023</t>
  </si>
  <si>
    <t xml:space="preserve">Jiří Veverka</t>
  </si>
  <si>
    <t xml:space="preserve">Šárka Novotná</t>
  </si>
  <si>
    <t xml:space="preserve">01.02.2023</t>
  </si>
  <si>
    <t xml:space="preserve">Kristýna Marešová</t>
  </si>
  <si>
    <t xml:space="preserve">01.01.2021</t>
  </si>
  <si>
    <t xml:space="preserve">Eliška Kolářová</t>
  </si>
  <si>
    <t xml:space="preserve">01.06.2021</t>
  </si>
  <si>
    <t xml:space="preserve">01.09.2022</t>
  </si>
  <si>
    <t xml:space="preserve">Martin Pašek</t>
  </si>
  <si>
    <t xml:space="preserve">01.03.2023</t>
  </si>
  <si>
    <t xml:space="preserve">Pavel Zeman</t>
  </si>
  <si>
    <t xml:space="preserve">01.03.2021</t>
  </si>
  <si>
    <t xml:space="preserve">01.03.2022</t>
  </si>
  <si>
    <t xml:space="preserve">Tereza Veverková</t>
  </si>
  <si>
    <t xml:space="preserve">01.01.2023</t>
  </si>
  <si>
    <t xml:space="preserve">Saad Jarrar</t>
  </si>
  <si>
    <t xml:space="preserve">01.06.2023</t>
  </si>
  <si>
    <t xml:space="preserve">Lukáš Horký</t>
  </si>
  <si>
    <t xml:space="preserve">11.09.2023</t>
  </si>
  <si>
    <t xml:space="preserve">Mózer Branislav</t>
  </si>
  <si>
    <t xml:space="preserve">01.07.2024</t>
  </si>
  <si>
    <t xml:space="preserve">Zdeněk Čepický</t>
  </si>
  <si>
    <t xml:space="preserve">01.04.2025</t>
  </si>
  <si>
    <t xml:space="preserve">Petra Dvořáková</t>
  </si>
  <si>
    <t xml:space="preserve">Zuzana Duspivová</t>
  </si>
  <si>
    <t xml:space="preserve">15.07.2025</t>
  </si>
  <si>
    <t xml:space="preserve">Dušan Havlát</t>
  </si>
  <si>
    <t xml:space="preserve">Matěj Svoboda</t>
  </si>
  <si>
    <t xml:space="preserve">01.02.2024</t>
  </si>
  <si>
    <t xml:space="preserve">Zdeněk Diviš</t>
  </si>
  <si>
    <t xml:space="preserve">01.02.2022</t>
  </si>
  <si>
    <t xml:space="preserve">Erika Sedláčková</t>
  </si>
  <si>
    <t xml:space="preserve">Pavel Voříšek</t>
  </si>
  <si>
    <t xml:space="preserve">Pavel Kilberger</t>
  </si>
  <si>
    <t xml:space="preserve">Michal Šik</t>
  </si>
  <si>
    <t xml:space="preserve">01.04.2015</t>
  </si>
  <si>
    <t xml:space="preserve">Ivana Brudnová</t>
  </si>
  <si>
    <t xml:space="preserve">Vlková Klára</t>
  </si>
  <si>
    <t xml:space="preserve">Marek Honal</t>
  </si>
  <si>
    <t xml:space="preserve">Luboš Lev</t>
  </si>
  <si>
    <t xml:space="preserve">01.10.2019</t>
  </si>
  <si>
    <t xml:space="preserve">Luboš Erhard</t>
  </si>
  <si>
    <t xml:space="preserve">06.04.2021</t>
  </si>
  <si>
    <t xml:space="preserve">Senft Ondřej</t>
  </si>
  <si>
    <t xml:space="preserve">dpp</t>
  </si>
  <si>
    <t xml:space="preserve">01.12.2015</t>
  </si>
  <si>
    <t xml:space="preserve">není v tabulce od Šárky</t>
  </si>
  <si>
    <t xml:space="preserve">Michelle Šafránková</t>
  </si>
  <si>
    <t xml:space="preserve">Ivana Honomichlová</t>
  </si>
  <si>
    <t xml:space="preserve">Martin Nosek</t>
  </si>
  <si>
    <t xml:space="preserve">Jana Lišková</t>
  </si>
  <si>
    <t xml:space="preserve">Jan Svatoš</t>
  </si>
  <si>
    <t xml:space="preserve">01.04.2018</t>
  </si>
  <si>
    <t xml:space="preserve">Michaela Hladíková</t>
  </si>
  <si>
    <t xml:space="preserve">Iva Hrůzová</t>
  </si>
  <si>
    <t xml:space="preserve">Martin Króner</t>
  </si>
  <si>
    <t xml:space="preserve">01.04.2020</t>
  </si>
  <si>
    <t xml:space="preserve">Vasyl Namjak</t>
  </si>
  <si>
    <t xml:space="preserve">Luboš Trunec</t>
  </si>
  <si>
    <t xml:space="preserve">01.08.2022</t>
  </si>
  <si>
    <t xml:space="preserve">Vladimír Navrátil</t>
  </si>
  <si>
    <t xml:space="preserve">Václav Reitmaier</t>
  </si>
  <si>
    <t xml:space="preserve">01.11.2021</t>
  </si>
  <si>
    <t xml:space="preserve">Andrea Bernardová</t>
  </si>
  <si>
    <t xml:space="preserve">18.10.2021</t>
  </si>
  <si>
    <t xml:space="preserve">Tomáš Bláha</t>
  </si>
  <si>
    <t xml:space="preserve">01.01.2022</t>
  </si>
  <si>
    <t xml:space="preserve">Jiří Hájek</t>
  </si>
  <si>
    <t xml:space="preserve">01.05.2022</t>
  </si>
  <si>
    <t xml:space="preserve">Michal Jirkovský</t>
  </si>
  <si>
    <t xml:space="preserve">16.05.2022</t>
  </si>
  <si>
    <t xml:space="preserve">Jaroslav Švenda</t>
  </si>
  <si>
    <t xml:space="preserve">01.06.2022</t>
  </si>
  <si>
    <t xml:space="preserve">Ilona Nepodalová</t>
  </si>
  <si>
    <t xml:space="preserve">Lucie Jakešová</t>
  </si>
  <si>
    <t xml:space="preserve">Pavel Egermaier</t>
  </si>
  <si>
    <t xml:space="preserve">Simona Urbanová</t>
  </si>
  <si>
    <t xml:space="preserve">01.09.2023</t>
  </si>
  <si>
    <t xml:space="preserve">Josef Artim</t>
  </si>
  <si>
    <t xml:space="preserve">01.09.2024</t>
  </si>
  <si>
    <t xml:space="preserve">Vojtěch Purkar</t>
  </si>
  <si>
    <t xml:space="preserve">01.07.2023</t>
  </si>
  <si>
    <t xml:space="preserve">Jakub Pěchouček</t>
  </si>
  <si>
    <t xml:space="preserve">Václav Vápeník</t>
  </si>
  <si>
    <t xml:space="preserve">10.10.2023</t>
  </si>
  <si>
    <t xml:space="preserve">Martin Valenta</t>
  </si>
  <si>
    <t xml:space="preserve">Petr Čiviš</t>
  </si>
  <si>
    <t xml:space="preserve">01.01.2024</t>
  </si>
  <si>
    <t xml:space="preserve">Světlana Herejtová</t>
  </si>
  <si>
    <t xml:space="preserve">01.05.2024</t>
  </si>
  <si>
    <t xml:space="preserve">Jakub Kasal</t>
  </si>
  <si>
    <t xml:space="preserve">01.09.2025</t>
  </si>
  <si>
    <t xml:space="preserve">nárok NESEDÍ se Šárkou</t>
  </si>
  <si>
    <t xml:space="preserve">Martin Porner</t>
  </si>
  <si>
    <t xml:space="preserve">01.07.2025</t>
  </si>
  <si>
    <t xml:space="preserve">Jan Peřina</t>
  </si>
  <si>
    <t xml:space="preserve">27.04.2026</t>
  </si>
  <si>
    <t xml:space="preserve">01.07.2013</t>
  </si>
  <si>
    <t xml:space="preserve">01.10.2011</t>
  </si>
  <si>
    <t xml:space="preserve">Miroslav Mareš</t>
  </si>
  <si>
    <t xml:space="preserve">01.04.2012</t>
  </si>
  <si>
    <t xml:space="preserve">01.09.2014</t>
  </si>
  <si>
    <t xml:space="preserve">Jan Svoboda</t>
  </si>
  <si>
    <t xml:space="preserve">01.10.2015</t>
  </si>
  <si>
    <t xml:space="preserve">18.05.2015</t>
  </si>
  <si>
    <t xml:space="preserve">20.11.2019</t>
  </si>
  <si>
    <t xml:space="preserve">Jiří Honomichl</t>
  </si>
  <si>
    <t xml:space="preserve">18.02.2016</t>
  </si>
  <si>
    <t xml:space="preserve">28.11.2023</t>
  </si>
  <si>
    <t xml:space="preserve">01.07.2026</t>
  </si>
  <si>
    <t xml:space="preserve">Ondřej Pillár</t>
  </si>
  <si>
    <t xml:space="preserve">01.11.2018</t>
  </si>
  <si>
    <t xml:space="preserve">01.07.2019</t>
  </si>
  <si>
    <t xml:space="preserve">Lidí celkem:</t>
  </si>
  <si>
    <t xml:space="preserve">Poznámek k prověření:</t>
  </si>
  <si>
    <t xml:space="preserve">Čerpání nesedí se Šárkou (&gt;0,5 dne):</t>
  </si>
  <si>
    <t xml:space="preserve">Duplicitní absenční záznamy — nález 30. 7. 2026</t>
  </si>
  <si>
    <t xml:space="preserve">Co se našlo</t>
  </si>
  <si>
    <t xml:space="preserve">V docházce existuje na tentýž den u téhož člověka víc absenčních záznamů naráz.</t>
  </si>
  <si>
    <t xml:space="preserve">Rozsah (rok 2026)</t>
  </si>
  <si>
    <t xml:space="preserve">551 člověkodnů z 1497 · 50 lidí · až 4 záznamy na jeden den</t>
  </si>
  <si>
    <t xml:space="preserve">Příklad</t>
  </si>
  <si>
    <t xml:space="preserve">Jiří Veverka: 30 řádků na 15 různých dnů — přesně dvojmo, všechny z importu z Centrály.</t>
  </si>
  <si>
    <t xml:space="preserve">Eliška Kolářová: 38 řádků na 20 dnů, ze čtyř různých zdrojů (plán z Centrály, import, appka, ruční).</t>
  </si>
  <si>
    <t xml:space="preserve">Proč to vadí</t>
  </si>
  <si>
    <t xml:space="preserve">Kdo sečte hodiny přímo z docházky, dostane skoro dvojnásobek. Přesně to se stalo mně — čerpání vycházelo 35 dnů tam, kde Šárka měla 8,5.</t>
  </si>
  <si>
    <t xml:space="preserve">Co to NEznamená</t>
  </si>
  <si>
    <t xml:space="preserve">Netvrdím, že jsou špatně mzdy. Mzdové podklady čtou denní souhrny, ne surové řádky. Ale kdokoli počítá z docházky napřímo, počítá špatně.</t>
  </si>
  <si>
    <t xml:space="preserve">Doporučení</t>
  </si>
  <si>
    <t xml:space="preserve">Nechat rozhodnout Jirku a Kristý — je to jejich doména a souvisí to s přeimportem července, který teď běží. Neopravovat na vlastní pěst.</t>
  </si>
  <si>
    <t xml:space="preserve">Jak to obejít do té doby</t>
  </si>
  <si>
    <t xml:space="preserve">Počítat jeden záznam na den (max hodin za den), ne součet řádků. Přesně tak je spočítané čerpání v tomto sešitu.</t>
  </si>
  <si>
    <t xml:space="preserve">Jak sešit číst</t>
  </si>
  <si>
    <t xml:space="preserve">Modré sloupce</t>
  </si>
  <si>
    <t xml:space="preserve">Co je dnes ve STRATEGII</t>
  </si>
  <si>
    <t xml:space="preserve">Zelené sloupce</t>
  </si>
  <si>
    <t xml:space="preserve">Co má Šárka ve své tabulce (stav k 31. 5. 2026)</t>
  </si>
  <si>
    <t xml:space="preserve">H — NÁROK spočítaný</t>
  </si>
  <si>
    <t xml:space="preserve">Standard + navíc. HPP: 20 ze zákona + firemní bonus. OSVČ: celé v „navíc“, individuálně.</t>
  </si>
  <si>
    <t xml:space="preserve">M — Rozdíl</t>
  </si>
  <si>
    <t xml:space="preserve">Moje čerpání minus Šárčino. Zeleně = sedí do půl dne. Červeně = neshoda k prověření.</t>
  </si>
  <si>
    <t xml:space="preserve">P — OPRAVA nároku</t>
  </si>
  <si>
    <t xml:space="preserve">Jediné pole k vyplnění, a jen tam, kde spočítaný nárok nesedí.</t>
  </si>
  <si>
    <t xml:space="preserve">Výsledek porovnání</t>
  </si>
  <si>
    <t xml:space="preserve">Nárok</t>
  </si>
  <si>
    <t xml:space="preserve">60 z 62 lidí sedí přesně. Neshoda jen u dvou nováčků (Kasal, Peřina) — Šárka jim nárok krátí podle nástupu, systém ne.</t>
  </si>
  <si>
    <t xml:space="preserve">Čerpání</t>
  </si>
  <si>
    <t xml:space="preserve">46 z 62 sedí do půl dne. U OSVČ je rozdíl zdánlivý — Šárka má jejich nárok ve sloupci „navíc“, ne „zákon“.</t>
  </si>
  <si>
    <t xml:space="preserve">Zdroj: STRATEGIE (engagement, engagement_entitlement, att_entry) + tabulka od Šárky „Narok D DN SD stav k 31.5.“. Připravil Claude-26 pro Peťu, 30. 7.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</si>
</sst>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6" min="14" style="0" width="13"/>
    <col collapsed="false" customWidth="true" hidden="false" outlineLevel="0" max="17" min="1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5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5" t="s">
        <v>11</v>
      </c>
      <c r="J5" s="5" t="s">
        <v>12</v>
      </c>
      <c r="K5" s="5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</row>
    <row r="6" customFormat="false" ht="15" hidden="false" customHeight="false" outlineLevel="0" collapsed="false">
      <c r="A6" s="6" t="n">
        <v>1</v>
      </c>
      <c r="B6" s="6" t="s">
        <v>20</v>
      </c>
      <c r="C6" s="6" t="s">
        <v>21</v>
      </c>
      <c r="D6" s="6" t="s">
        <v>22</v>
      </c>
      <c r="E6" s="7" t="n">
        <v>40</v>
      </c>
      <c r="F6" s="7"/>
      <c r="G6" s="7" t="n">
        <v>27</v>
      </c>
      <c r="H6" s="8" t="n">
        <f aca="false">IF(AND(F6="",G6=""),0,SUM(F6:G6))</f>
        <v>27</v>
      </c>
      <c r="I6" s="7" t="n">
        <v>0</v>
      </c>
      <c r="J6" s="7" t="n">
        <v>27</v>
      </c>
      <c r="K6" s="7" t="n">
        <v>0</v>
      </c>
      <c r="L6" s="7" t="n">
        <v>4</v>
      </c>
      <c r="M6" s="9" t="n">
        <f aca="false">IF(OR(K6="",L6=""),"",L6-K6)</f>
        <v>4</v>
      </c>
      <c r="N6" s="7" t="n">
        <v>5</v>
      </c>
      <c r="O6" s="7" t="n">
        <v>40</v>
      </c>
      <c r="P6" s="10"/>
      <c r="Q6" s="6"/>
    </row>
    <row r="7" customFormat="false" ht="15" hidden="false" customHeight="false" outlineLevel="0" collapsed="false">
      <c r="A7" s="6" t="n">
        <v>2</v>
      </c>
      <c r="B7" s="6" t="s">
        <v>23</v>
      </c>
      <c r="C7" s="6" t="s">
        <v>24</v>
      </c>
      <c r="D7" s="6" t="s">
        <v>25</v>
      </c>
      <c r="E7" s="7" t="n">
        <v>40</v>
      </c>
      <c r="F7" s="7"/>
      <c r="G7" s="7"/>
      <c r="H7" s="8" t="n">
        <f aca="false">IF(AND(F7="",G7=""),0,SUM(F7:G7))</f>
        <v>0</v>
      </c>
      <c r="I7" s="7" t="n">
        <v>0</v>
      </c>
      <c r="J7" s="7" t="n">
        <v>0</v>
      </c>
      <c r="K7" s="7" t="n">
        <v>0</v>
      </c>
      <c r="L7" s="7" t="n">
        <v>0</v>
      </c>
      <c r="M7" s="11" t="n">
        <f aca="false">IF(OR(K7="",L7=""),"",L7-K7)</f>
        <v>0</v>
      </c>
      <c r="N7" s="7" t="n">
        <v>1</v>
      </c>
      <c r="O7" s="7" t="n">
        <v>8</v>
      </c>
      <c r="P7" s="10"/>
      <c r="Q7" s="12" t="s">
        <v>26</v>
      </c>
    </row>
    <row r="8" customFormat="false" ht="15" hidden="false" customHeight="false" outlineLevel="0" collapsed="false">
      <c r="A8" s="6" t="n">
        <v>6</v>
      </c>
      <c r="B8" s="6" t="s">
        <v>27</v>
      </c>
      <c r="C8" s="6" t="s">
        <v>24</v>
      </c>
      <c r="D8" s="6" t="s">
        <v>28</v>
      </c>
      <c r="E8" s="7" t="n">
        <v>40</v>
      </c>
      <c r="F8" s="7" t="n">
        <v>20</v>
      </c>
      <c r="G8" s="7" t="n">
        <v>5</v>
      </c>
      <c r="H8" s="8" t="n">
        <f aca="false">IF(AND(F8="",G8=""),0,SUM(F8:G8))</f>
        <v>25</v>
      </c>
      <c r="I8" s="7" t="n">
        <v>20</v>
      </c>
      <c r="J8" s="7" t="n">
        <v>5</v>
      </c>
      <c r="K8" s="7" t="n">
        <v>4</v>
      </c>
      <c r="L8" s="7" t="n">
        <v>4</v>
      </c>
      <c r="M8" s="11" t="n">
        <f aca="false">IF(OR(K8="",L8=""),"",L8-K8)</f>
        <v>0</v>
      </c>
      <c r="N8" s="7" t="n">
        <v>5</v>
      </c>
      <c r="O8" s="7" t="n">
        <v>36</v>
      </c>
      <c r="P8" s="10"/>
      <c r="Q8" s="6"/>
    </row>
    <row r="9" customFormat="false" ht="15" hidden="false" customHeight="false" outlineLevel="0" collapsed="false">
      <c r="A9" s="6" t="n">
        <v>11</v>
      </c>
      <c r="B9" s="6" t="s">
        <v>29</v>
      </c>
      <c r="C9" s="6" t="s">
        <v>21</v>
      </c>
      <c r="D9" s="6" t="s">
        <v>30</v>
      </c>
      <c r="E9" s="7" t="n">
        <v>40</v>
      </c>
      <c r="F9" s="7"/>
      <c r="G9" s="7" t="n">
        <v>26</v>
      </c>
      <c r="H9" s="8" t="n">
        <f aca="false">IF(AND(F9="",G9=""),0,SUM(F9:G9))</f>
        <v>26</v>
      </c>
      <c r="I9" s="7" t="n">
        <v>0</v>
      </c>
      <c r="J9" s="7" t="n">
        <v>26</v>
      </c>
      <c r="K9" s="7" t="n">
        <v>0</v>
      </c>
      <c r="L9" s="7" t="n">
        <v>4</v>
      </c>
      <c r="M9" s="9" t="n">
        <f aca="false">IF(OR(K9="",L9=""),"",L9-K9)</f>
        <v>4</v>
      </c>
      <c r="N9" s="7" t="n">
        <v>8</v>
      </c>
      <c r="O9" s="7" t="n">
        <v>60</v>
      </c>
      <c r="P9" s="10"/>
      <c r="Q9" s="6"/>
    </row>
    <row r="10" customFormat="false" ht="15" hidden="false" customHeight="false" outlineLevel="0" collapsed="false">
      <c r="A10" s="6" t="n">
        <v>13</v>
      </c>
      <c r="B10" s="6" t="s">
        <v>31</v>
      </c>
      <c r="C10" s="6" t="s">
        <v>21</v>
      </c>
      <c r="D10" s="6" t="s">
        <v>32</v>
      </c>
      <c r="E10" s="7" t="n">
        <v>40</v>
      </c>
      <c r="F10" s="7"/>
      <c r="G10" s="7"/>
      <c r="H10" s="8" t="n">
        <f aca="false">IF(AND(F10="",G10=""),0,SUM(F10:G10))</f>
        <v>0</v>
      </c>
      <c r="I10" s="7" t="n">
        <v>0</v>
      </c>
      <c r="J10" s="7" t="n">
        <v>0</v>
      </c>
      <c r="K10" s="7" t="n">
        <v>0</v>
      </c>
      <c r="L10" s="7"/>
      <c r="M10" s="11" t="str">
        <f aca="false">IF(OR(K10="",L10=""),"",L10-K10)</f>
        <v/>
      </c>
      <c r="N10" s="7"/>
      <c r="O10" s="7"/>
      <c r="P10" s="10"/>
      <c r="Q10" s="6"/>
    </row>
    <row r="11" customFormat="false" ht="15" hidden="false" customHeight="false" outlineLevel="0" collapsed="false">
      <c r="A11" s="6" t="n">
        <v>14</v>
      </c>
      <c r="B11" s="6" t="s">
        <v>33</v>
      </c>
      <c r="C11" s="6" t="s">
        <v>24</v>
      </c>
      <c r="D11" s="6" t="s">
        <v>30</v>
      </c>
      <c r="E11" s="7" t="n">
        <v>40</v>
      </c>
      <c r="F11" s="7" t="n">
        <v>20</v>
      </c>
      <c r="G11" s="7" t="n">
        <v>5</v>
      </c>
      <c r="H11" s="8" t="n">
        <f aca="false">IF(AND(F11="",G11=""),0,SUM(F11:G11))</f>
        <v>25</v>
      </c>
      <c r="I11" s="7" t="n">
        <v>20</v>
      </c>
      <c r="J11" s="7" t="n">
        <v>5</v>
      </c>
      <c r="K11" s="7" t="n">
        <v>15</v>
      </c>
      <c r="L11" s="7" t="n">
        <v>15</v>
      </c>
      <c r="M11" s="11" t="n">
        <f aca="false">IF(OR(K11="",L11=""),"",L11-K11)</f>
        <v>0</v>
      </c>
      <c r="N11" s="7" t="n">
        <v>15</v>
      </c>
      <c r="O11" s="7" t="n">
        <v>120</v>
      </c>
      <c r="P11" s="10"/>
      <c r="Q11" s="6"/>
    </row>
    <row r="12" customFormat="false" ht="15" hidden="false" customHeight="false" outlineLevel="0" collapsed="false">
      <c r="A12" s="6" t="n">
        <v>16</v>
      </c>
      <c r="B12" s="6" t="s">
        <v>34</v>
      </c>
      <c r="C12" s="6" t="s">
        <v>24</v>
      </c>
      <c r="D12" s="6" t="s">
        <v>35</v>
      </c>
      <c r="E12" s="7" t="n">
        <v>35</v>
      </c>
      <c r="F12" s="7" t="n">
        <v>20</v>
      </c>
      <c r="G12" s="7" t="n">
        <v>5</v>
      </c>
      <c r="H12" s="8" t="n">
        <f aca="false">IF(AND(F12="",G12=""),0,SUM(F12:G12))</f>
        <v>25</v>
      </c>
      <c r="I12" s="7" t="n">
        <v>20</v>
      </c>
      <c r="J12" s="7" t="n">
        <v>5</v>
      </c>
      <c r="K12" s="7" t="n">
        <v>3</v>
      </c>
      <c r="L12" s="7" t="n">
        <v>3</v>
      </c>
      <c r="M12" s="11" t="n">
        <f aca="false">IF(OR(K12="",L12=""),"",L12-K12)</f>
        <v>0</v>
      </c>
      <c r="N12" s="7" t="n">
        <v>19</v>
      </c>
      <c r="O12" s="7" t="n">
        <v>149</v>
      </c>
      <c r="P12" s="10"/>
      <c r="Q12" s="6"/>
    </row>
    <row r="13" customFormat="false" ht="15" hidden="false" customHeight="false" outlineLevel="0" collapsed="false">
      <c r="A13" s="6" t="n">
        <v>21</v>
      </c>
      <c r="B13" s="6" t="s">
        <v>36</v>
      </c>
      <c r="C13" s="6" t="s">
        <v>24</v>
      </c>
      <c r="D13" s="6" t="s">
        <v>37</v>
      </c>
      <c r="E13" s="7" t="n">
        <v>40</v>
      </c>
      <c r="F13" s="7" t="n">
        <v>20</v>
      </c>
      <c r="G13" s="7" t="n">
        <v>10</v>
      </c>
      <c r="H13" s="8" t="n">
        <f aca="false">IF(AND(F13="",G13=""),0,SUM(F13:G13))</f>
        <v>30</v>
      </c>
      <c r="I13" s="7" t="n">
        <v>20</v>
      </c>
      <c r="J13" s="7" t="n">
        <v>10</v>
      </c>
      <c r="K13" s="7" t="n">
        <v>5.5</v>
      </c>
      <c r="L13" s="7" t="n">
        <v>7</v>
      </c>
      <c r="M13" s="9" t="n">
        <f aca="false">IF(OR(K13="",L13=""),"",L13-K13)</f>
        <v>1.5</v>
      </c>
      <c r="N13" s="7" t="n">
        <v>21</v>
      </c>
      <c r="O13" s="7" t="n">
        <v>152</v>
      </c>
      <c r="P13" s="10"/>
      <c r="Q13" s="6"/>
    </row>
    <row r="14" customFormat="false" ht="15" hidden="false" customHeight="false" outlineLevel="0" collapsed="false">
      <c r="A14" s="6" t="n">
        <v>24</v>
      </c>
      <c r="B14" s="6" t="s">
        <v>38</v>
      </c>
      <c r="C14" s="6" t="s">
        <v>24</v>
      </c>
      <c r="D14" s="6" t="s">
        <v>39</v>
      </c>
      <c r="E14" s="7" t="n">
        <v>40</v>
      </c>
      <c r="F14" s="7" t="n">
        <v>20</v>
      </c>
      <c r="G14" s="7" t="n">
        <v>5</v>
      </c>
      <c r="H14" s="8" t="n">
        <f aca="false">IF(AND(F14="",G14=""),0,SUM(F14:G14))</f>
        <v>25</v>
      </c>
      <c r="I14" s="7" t="n">
        <v>20</v>
      </c>
      <c r="J14" s="7" t="n">
        <v>5</v>
      </c>
      <c r="K14" s="7" t="n">
        <v>8.5</v>
      </c>
      <c r="L14" s="7" t="n">
        <v>10</v>
      </c>
      <c r="M14" s="9" t="n">
        <f aca="false">IF(OR(K14="",L14=""),"",L14-K14)</f>
        <v>1.5</v>
      </c>
      <c r="N14" s="7" t="n">
        <v>20</v>
      </c>
      <c r="O14" s="7" t="n">
        <v>148</v>
      </c>
      <c r="P14" s="10"/>
      <c r="Q14" s="6"/>
    </row>
    <row r="15" customFormat="false" ht="15" hidden="false" customHeight="false" outlineLevel="0" collapsed="false">
      <c r="A15" s="6" t="n">
        <v>27</v>
      </c>
      <c r="B15" s="6" t="s">
        <v>31</v>
      </c>
      <c r="C15" s="6" t="s">
        <v>21</v>
      </c>
      <c r="D15" s="6" t="s">
        <v>40</v>
      </c>
      <c r="E15" s="7" t="n">
        <v>40</v>
      </c>
      <c r="F15" s="7"/>
      <c r="G15" s="7"/>
      <c r="H15" s="8" t="n">
        <f aca="false">IF(AND(F15="",G15=""),0,SUM(F15:G15))</f>
        <v>0</v>
      </c>
      <c r="I15" s="7" t="n">
        <v>0</v>
      </c>
      <c r="J15" s="7" t="n">
        <v>0</v>
      </c>
      <c r="K15" s="7" t="n">
        <v>0</v>
      </c>
      <c r="L15" s="7"/>
      <c r="M15" s="11" t="str">
        <f aca="false">IF(OR(K15="",L15=""),"",L15-K15)</f>
        <v/>
      </c>
      <c r="N15" s="7"/>
      <c r="O15" s="7"/>
      <c r="P15" s="10"/>
      <c r="Q15" s="6"/>
    </row>
    <row r="16" customFormat="false" ht="15" hidden="false" customHeight="false" outlineLevel="0" collapsed="false">
      <c r="A16" s="6" t="n">
        <v>29</v>
      </c>
      <c r="B16" s="6" t="s">
        <v>41</v>
      </c>
      <c r="C16" s="6" t="s">
        <v>24</v>
      </c>
      <c r="D16" s="6" t="s">
        <v>42</v>
      </c>
      <c r="E16" s="7" t="n">
        <v>40</v>
      </c>
      <c r="F16" s="7" t="n">
        <v>20</v>
      </c>
      <c r="G16" s="7" t="n">
        <v>5</v>
      </c>
      <c r="H16" s="8" t="n">
        <f aca="false">IF(AND(F16="",G16=""),0,SUM(F16:G16))</f>
        <v>25</v>
      </c>
      <c r="I16" s="7" t="n">
        <v>20</v>
      </c>
      <c r="J16" s="7" t="n">
        <v>5</v>
      </c>
      <c r="K16" s="7" t="n">
        <v>1</v>
      </c>
      <c r="L16" s="7" t="n">
        <v>1</v>
      </c>
      <c r="M16" s="11" t="n">
        <f aca="false">IF(OR(K16="",L16=""),"",L16-K16)</f>
        <v>0</v>
      </c>
      <c r="N16" s="7" t="n">
        <v>8</v>
      </c>
      <c r="O16" s="7" t="n">
        <v>64</v>
      </c>
      <c r="P16" s="10"/>
      <c r="Q16" s="6"/>
    </row>
    <row r="17" customFormat="false" ht="15" hidden="false" customHeight="false" outlineLevel="0" collapsed="false">
      <c r="A17" s="6" t="n">
        <v>40</v>
      </c>
      <c r="B17" s="6" t="s">
        <v>43</v>
      </c>
      <c r="C17" s="6" t="s">
        <v>24</v>
      </c>
      <c r="D17" s="6" t="s">
        <v>44</v>
      </c>
      <c r="E17" s="7" t="n">
        <v>40</v>
      </c>
      <c r="F17" s="7" t="n">
        <v>20</v>
      </c>
      <c r="G17" s="7" t="n">
        <v>10</v>
      </c>
      <c r="H17" s="8" t="n">
        <f aca="false">IF(AND(F17="",G17=""),0,SUM(F17:G17))</f>
        <v>30</v>
      </c>
      <c r="I17" s="7" t="n">
        <v>20</v>
      </c>
      <c r="J17" s="7" t="n">
        <v>10</v>
      </c>
      <c r="K17" s="7" t="n">
        <v>1</v>
      </c>
      <c r="L17" s="7" t="n">
        <v>2</v>
      </c>
      <c r="M17" s="9" t="n">
        <f aca="false">IF(OR(K17="",L17=""),"",L17-K17)</f>
        <v>1</v>
      </c>
      <c r="N17" s="7" t="n">
        <v>19</v>
      </c>
      <c r="O17" s="7" t="n">
        <v>152</v>
      </c>
      <c r="P17" s="10"/>
      <c r="Q17" s="6"/>
    </row>
    <row r="18" customFormat="false" ht="15" hidden="false" customHeight="false" outlineLevel="0" collapsed="false">
      <c r="A18" s="6" t="n">
        <v>41</v>
      </c>
      <c r="B18" s="6" t="s">
        <v>23</v>
      </c>
      <c r="C18" s="6" t="s">
        <v>24</v>
      </c>
      <c r="D18" s="6" t="s">
        <v>45</v>
      </c>
      <c r="E18" s="7" t="n">
        <v>40</v>
      </c>
      <c r="F18" s="7"/>
      <c r="G18" s="7"/>
      <c r="H18" s="8" t="n">
        <f aca="false">IF(AND(F18="",G18=""),0,SUM(F18:G18))</f>
        <v>0</v>
      </c>
      <c r="I18" s="7" t="n">
        <v>0</v>
      </c>
      <c r="J18" s="7" t="n">
        <v>0</v>
      </c>
      <c r="K18" s="7" t="n">
        <v>0</v>
      </c>
      <c r="L18" s="7"/>
      <c r="M18" s="11" t="str">
        <f aca="false">IF(OR(K18="",L18=""),"",L18-K18)</f>
        <v/>
      </c>
      <c r="N18" s="7"/>
      <c r="O18" s="7"/>
      <c r="P18" s="10"/>
      <c r="Q18" s="12" t="s">
        <v>26</v>
      </c>
    </row>
    <row r="19" customFormat="false" ht="15" hidden="false" customHeight="false" outlineLevel="0" collapsed="false">
      <c r="A19" s="6" t="n">
        <v>42</v>
      </c>
      <c r="B19" s="6" t="s">
        <v>46</v>
      </c>
      <c r="C19" s="6" t="s">
        <v>24</v>
      </c>
      <c r="D19" s="6" t="s">
        <v>47</v>
      </c>
      <c r="E19" s="7" t="n">
        <v>20</v>
      </c>
      <c r="F19" s="7" t="n">
        <v>20</v>
      </c>
      <c r="G19" s="7" t="n">
        <v>5</v>
      </c>
      <c r="H19" s="8" t="n">
        <f aca="false">IF(AND(F19="",G19=""),0,SUM(F19:G19))</f>
        <v>25</v>
      </c>
      <c r="I19" s="7" t="n">
        <v>20</v>
      </c>
      <c r="J19" s="7" t="n">
        <v>5</v>
      </c>
      <c r="K19" s="7" t="n">
        <v>15</v>
      </c>
      <c r="L19" s="7" t="n">
        <v>15</v>
      </c>
      <c r="M19" s="11" t="n">
        <f aca="false">IF(OR(K19="",L19=""),"",L19-K19)</f>
        <v>0</v>
      </c>
      <c r="N19" s="7" t="n">
        <v>15</v>
      </c>
      <c r="O19" s="7" t="n">
        <v>60</v>
      </c>
      <c r="P19" s="10"/>
      <c r="Q19" s="6"/>
    </row>
    <row r="20" customFormat="false" ht="15" hidden="false" customHeight="false" outlineLevel="0" collapsed="false">
      <c r="A20" s="6" t="n">
        <v>45</v>
      </c>
      <c r="B20" s="6" t="s">
        <v>48</v>
      </c>
      <c r="C20" s="6" t="s">
        <v>21</v>
      </c>
      <c r="D20" s="6" t="s">
        <v>49</v>
      </c>
      <c r="E20" s="7" t="n">
        <v>40</v>
      </c>
      <c r="F20" s="7"/>
      <c r="G20" s="7" t="n">
        <v>20</v>
      </c>
      <c r="H20" s="8" t="n">
        <f aca="false">IF(AND(F20="",G20=""),0,SUM(F20:G20))</f>
        <v>20</v>
      </c>
      <c r="I20" s="7" t="n">
        <v>0</v>
      </c>
      <c r="J20" s="7" t="n">
        <v>20</v>
      </c>
      <c r="K20" s="7" t="n">
        <v>0</v>
      </c>
      <c r="L20" s="7" t="n">
        <v>0</v>
      </c>
      <c r="M20" s="11" t="n">
        <f aca="false">IF(OR(K20="",L20=""),"",L20-K20)</f>
        <v>0</v>
      </c>
      <c r="N20" s="7" t="n">
        <v>4</v>
      </c>
      <c r="O20" s="7" t="n">
        <v>32</v>
      </c>
      <c r="P20" s="10"/>
      <c r="Q20" s="6"/>
    </row>
    <row r="21" customFormat="false" ht="15" hidden="false" customHeight="false" outlineLevel="0" collapsed="false">
      <c r="A21" s="6" t="n">
        <v>46</v>
      </c>
      <c r="B21" s="6" t="s">
        <v>50</v>
      </c>
      <c r="C21" s="6" t="s">
        <v>24</v>
      </c>
      <c r="D21" s="6" t="s">
        <v>51</v>
      </c>
      <c r="E21" s="7" t="n">
        <v>40</v>
      </c>
      <c r="F21" s="7" t="n">
        <v>20</v>
      </c>
      <c r="G21" s="7" t="n">
        <v>5</v>
      </c>
      <c r="H21" s="8" t="n">
        <f aca="false">IF(AND(F21="",G21=""),0,SUM(F21:G21))</f>
        <v>25</v>
      </c>
      <c r="I21" s="7" t="n">
        <v>20</v>
      </c>
      <c r="J21" s="7" t="n">
        <v>5</v>
      </c>
      <c r="K21" s="7" t="n">
        <v>3.5</v>
      </c>
      <c r="L21" s="7" t="n">
        <v>4</v>
      </c>
      <c r="M21" s="11" t="n">
        <f aca="false">IF(OR(K21="",L21=""),"",L21-K21)</f>
        <v>0.5</v>
      </c>
      <c r="N21" s="7" t="n">
        <v>10</v>
      </c>
      <c r="O21" s="7" t="n">
        <v>76</v>
      </c>
      <c r="P21" s="10"/>
      <c r="Q21" s="6"/>
    </row>
    <row r="22" customFormat="false" ht="15" hidden="false" customHeight="false" outlineLevel="0" collapsed="false">
      <c r="A22" s="6" t="n">
        <v>47</v>
      </c>
      <c r="B22" s="6" t="s">
        <v>52</v>
      </c>
      <c r="C22" s="6" t="s">
        <v>24</v>
      </c>
      <c r="D22" s="6" t="s">
        <v>53</v>
      </c>
      <c r="E22" s="7" t="n">
        <v>40</v>
      </c>
      <c r="F22" s="7"/>
      <c r="G22" s="7"/>
      <c r="H22" s="8" t="n">
        <f aca="false">IF(AND(F22="",G22=""),0,SUM(F22:G22))</f>
        <v>0</v>
      </c>
      <c r="I22" s="7" t="n">
        <v>0</v>
      </c>
      <c r="J22" s="7" t="n">
        <v>0</v>
      </c>
      <c r="K22" s="7" t="n">
        <v>0</v>
      </c>
      <c r="L22" s="7"/>
      <c r="M22" s="11" t="str">
        <f aca="false">IF(OR(K22="",L22=""),"",L22-K22)</f>
        <v/>
      </c>
      <c r="N22" s="7"/>
      <c r="O22" s="7"/>
      <c r="P22" s="10"/>
      <c r="Q22" s="12" t="s">
        <v>26</v>
      </c>
    </row>
    <row r="23" customFormat="false" ht="15" hidden="false" customHeight="false" outlineLevel="0" collapsed="false">
      <c r="A23" s="6" t="n">
        <v>48</v>
      </c>
      <c r="B23" s="6" t="s">
        <v>54</v>
      </c>
      <c r="C23" s="6" t="s">
        <v>24</v>
      </c>
      <c r="D23" s="6" t="s">
        <v>55</v>
      </c>
      <c r="E23" s="7" t="n">
        <v>40</v>
      </c>
      <c r="F23" s="7" t="n">
        <v>20</v>
      </c>
      <c r="G23" s="7" t="n">
        <v>5</v>
      </c>
      <c r="H23" s="8" t="n">
        <f aca="false">IF(AND(F23="",G23=""),0,SUM(F23:G23))</f>
        <v>25</v>
      </c>
      <c r="I23" s="7" t="n">
        <v>20</v>
      </c>
      <c r="J23" s="7" t="n">
        <v>5</v>
      </c>
      <c r="K23" s="7" t="n">
        <v>1</v>
      </c>
      <c r="L23" s="7" t="n">
        <v>1</v>
      </c>
      <c r="M23" s="11" t="n">
        <f aca="false">IF(OR(K23="",L23=""),"",L23-K23)</f>
        <v>0</v>
      </c>
      <c r="N23" s="7" t="n">
        <v>11</v>
      </c>
      <c r="O23" s="7" t="n">
        <v>88</v>
      </c>
      <c r="P23" s="10"/>
      <c r="Q23" s="6"/>
    </row>
    <row r="24" customFormat="false" ht="15" hidden="false" customHeight="false" outlineLevel="0" collapsed="false">
      <c r="A24" s="6" t="n">
        <v>49</v>
      </c>
      <c r="B24" s="6" t="s">
        <v>56</v>
      </c>
      <c r="C24" s="6" t="s">
        <v>24</v>
      </c>
      <c r="D24" s="6" t="s">
        <v>55</v>
      </c>
      <c r="E24" s="7" t="n">
        <v>30</v>
      </c>
      <c r="F24" s="7" t="n">
        <v>20</v>
      </c>
      <c r="G24" s="7" t="n">
        <v>5</v>
      </c>
      <c r="H24" s="8" t="n">
        <f aca="false">IF(AND(F24="",G24=""),0,SUM(F24:G24))</f>
        <v>25</v>
      </c>
      <c r="I24" s="7" t="n">
        <v>20</v>
      </c>
      <c r="J24" s="7" t="n">
        <v>5</v>
      </c>
      <c r="K24" s="7" t="n">
        <v>6</v>
      </c>
      <c r="L24" s="7" t="n">
        <v>7</v>
      </c>
      <c r="M24" s="9" t="n">
        <f aca="false">IF(OR(K24="",L24=""),"",L24-K24)</f>
        <v>1</v>
      </c>
      <c r="N24" s="7" t="n">
        <v>8</v>
      </c>
      <c r="O24" s="7" t="n">
        <v>36.7</v>
      </c>
      <c r="P24" s="10"/>
      <c r="Q24" s="6"/>
    </row>
    <row r="25" customFormat="false" ht="15" hidden="false" customHeight="false" outlineLevel="0" collapsed="false">
      <c r="A25" s="6" t="n">
        <v>50</v>
      </c>
      <c r="B25" s="6" t="s">
        <v>57</v>
      </c>
      <c r="C25" s="6" t="s">
        <v>24</v>
      </c>
      <c r="D25" s="6" t="s">
        <v>58</v>
      </c>
      <c r="E25" s="7" t="n">
        <v>35</v>
      </c>
      <c r="F25" s="7" t="n">
        <v>20</v>
      </c>
      <c r="G25" s="7" t="n">
        <v>5</v>
      </c>
      <c r="H25" s="8" t="n">
        <f aca="false">IF(AND(F25="",G25=""),0,SUM(F25:G25))</f>
        <v>25</v>
      </c>
      <c r="I25" s="7" t="n">
        <v>20</v>
      </c>
      <c r="J25" s="7" t="n">
        <v>5</v>
      </c>
      <c r="K25" s="7" t="n">
        <v>6.5</v>
      </c>
      <c r="L25" s="7" t="n">
        <v>7</v>
      </c>
      <c r="M25" s="11" t="n">
        <f aca="false">IF(OR(K25="",L25=""),"",L25-K25)</f>
        <v>0.5</v>
      </c>
      <c r="N25" s="7" t="n">
        <v>13</v>
      </c>
      <c r="O25" s="7" t="n">
        <v>100</v>
      </c>
      <c r="P25" s="10"/>
      <c r="Q25" s="6"/>
    </row>
    <row r="26" customFormat="false" ht="15" hidden="false" customHeight="false" outlineLevel="0" collapsed="false">
      <c r="A26" s="6" t="n">
        <v>105</v>
      </c>
      <c r="B26" s="6" t="s">
        <v>59</v>
      </c>
      <c r="C26" s="6" t="s">
        <v>21</v>
      </c>
      <c r="D26" s="6" t="s">
        <v>30</v>
      </c>
      <c r="E26" s="7" t="n">
        <v>40</v>
      </c>
      <c r="F26" s="7"/>
      <c r="G26" s="7" t="n">
        <v>26</v>
      </c>
      <c r="H26" s="8" t="n">
        <f aca="false">IF(AND(F26="",G26=""),0,SUM(F26:G26))</f>
        <v>26</v>
      </c>
      <c r="I26" s="7" t="n">
        <v>0</v>
      </c>
      <c r="J26" s="7" t="n">
        <v>26</v>
      </c>
      <c r="K26" s="7" t="n">
        <v>0</v>
      </c>
      <c r="L26" s="7" t="n">
        <v>6</v>
      </c>
      <c r="M26" s="9" t="n">
        <f aca="false">IF(OR(K26="",L26=""),"",L26-K26)</f>
        <v>6</v>
      </c>
      <c r="N26" s="7" t="n">
        <v>17</v>
      </c>
      <c r="O26" s="7" t="n">
        <v>136</v>
      </c>
      <c r="P26" s="10"/>
      <c r="Q26" s="6"/>
    </row>
    <row r="27" customFormat="false" ht="15" hidden="false" customHeight="false" outlineLevel="0" collapsed="false">
      <c r="A27" s="6" t="n">
        <v>126</v>
      </c>
      <c r="B27" s="6" t="s">
        <v>60</v>
      </c>
      <c r="C27" s="6" t="s">
        <v>24</v>
      </c>
      <c r="D27" s="6" t="s">
        <v>61</v>
      </c>
      <c r="E27" s="7" t="n">
        <v>40</v>
      </c>
      <c r="F27" s="7" t="n">
        <v>20</v>
      </c>
      <c r="G27" s="7" t="n">
        <v>5</v>
      </c>
      <c r="H27" s="8" t="n">
        <f aca="false">IF(AND(F27="",G27=""),0,SUM(F27:G27))</f>
        <v>25</v>
      </c>
      <c r="I27" s="7" t="n">
        <v>20</v>
      </c>
      <c r="J27" s="7" t="n">
        <v>5</v>
      </c>
      <c r="K27" s="7" t="n">
        <v>5</v>
      </c>
      <c r="L27" s="7" t="n">
        <v>6</v>
      </c>
      <c r="M27" s="9" t="n">
        <f aca="false">IF(OR(K27="",L27=""),"",L27-K27)</f>
        <v>1</v>
      </c>
      <c r="N27" s="7" t="n">
        <v>15</v>
      </c>
      <c r="O27" s="7" t="n">
        <v>108</v>
      </c>
      <c r="P27" s="10"/>
      <c r="Q27" s="6"/>
    </row>
    <row r="28" customFormat="false" ht="15" hidden="false" customHeight="false" outlineLevel="0" collapsed="false">
      <c r="A28" s="6" t="n">
        <v>147</v>
      </c>
      <c r="B28" s="6" t="s">
        <v>62</v>
      </c>
      <c r="C28" s="6" t="s">
        <v>24</v>
      </c>
      <c r="D28" s="6" t="s">
        <v>63</v>
      </c>
      <c r="E28" s="7" t="n">
        <v>40</v>
      </c>
      <c r="F28" s="7" t="n">
        <v>20</v>
      </c>
      <c r="G28" s="7" t="n">
        <v>6</v>
      </c>
      <c r="H28" s="8" t="n">
        <f aca="false">IF(AND(F28="",G28=""),0,SUM(F28:G28))</f>
        <v>26</v>
      </c>
      <c r="I28" s="7" t="n">
        <v>20</v>
      </c>
      <c r="J28" s="7" t="n">
        <v>6</v>
      </c>
      <c r="K28" s="7" t="n">
        <v>2</v>
      </c>
      <c r="L28" s="7" t="n">
        <v>3</v>
      </c>
      <c r="M28" s="9" t="n">
        <f aca="false">IF(OR(K28="",L28=""),"",L28-K28)</f>
        <v>1</v>
      </c>
      <c r="N28" s="7" t="n">
        <v>24</v>
      </c>
      <c r="O28" s="7" t="n">
        <v>180</v>
      </c>
      <c r="P28" s="10"/>
      <c r="Q28" s="6"/>
    </row>
    <row r="29" customFormat="false" ht="15" hidden="false" customHeight="false" outlineLevel="0" collapsed="false">
      <c r="A29" s="6" t="n">
        <v>322</v>
      </c>
      <c r="B29" s="6" t="s">
        <v>64</v>
      </c>
      <c r="C29" s="6" t="s">
        <v>24</v>
      </c>
      <c r="D29" s="6" t="s">
        <v>63</v>
      </c>
      <c r="E29" s="7" t="n">
        <v>40</v>
      </c>
      <c r="F29" s="7" t="n">
        <v>20</v>
      </c>
      <c r="G29" s="7" t="n">
        <v>6</v>
      </c>
      <c r="H29" s="8" t="n">
        <f aca="false">IF(AND(F29="",G29=""),0,SUM(F29:G29))</f>
        <v>26</v>
      </c>
      <c r="I29" s="7" t="n">
        <v>20</v>
      </c>
      <c r="J29" s="7" t="n">
        <v>6</v>
      </c>
      <c r="K29" s="7" t="n">
        <v>5</v>
      </c>
      <c r="L29" s="7" t="n">
        <v>7</v>
      </c>
      <c r="M29" s="9" t="n">
        <f aca="false">IF(OR(K29="",L29=""),"",L29-K29)</f>
        <v>2</v>
      </c>
      <c r="N29" s="7" t="n">
        <v>14</v>
      </c>
      <c r="O29" s="7" t="n">
        <v>92</v>
      </c>
      <c r="P29" s="10"/>
      <c r="Q29" s="6"/>
    </row>
    <row r="30" customFormat="false" ht="15" hidden="false" customHeight="false" outlineLevel="0" collapsed="false">
      <c r="A30" s="6" t="n">
        <v>327</v>
      </c>
      <c r="B30" s="6" t="s">
        <v>65</v>
      </c>
      <c r="C30" s="6" t="s">
        <v>21</v>
      </c>
      <c r="D30" s="6" t="s">
        <v>30</v>
      </c>
      <c r="E30" s="7" t="n">
        <v>40</v>
      </c>
      <c r="F30" s="7"/>
      <c r="G30" s="7" t="n">
        <v>6</v>
      </c>
      <c r="H30" s="8" t="n">
        <f aca="false">IF(AND(F30="",G30=""),0,SUM(F30:G30))</f>
        <v>6</v>
      </c>
      <c r="I30" s="7" t="n">
        <v>0</v>
      </c>
      <c r="J30" s="7" t="n">
        <v>6</v>
      </c>
      <c r="K30" s="7" t="n">
        <v>0</v>
      </c>
      <c r="L30" s="7"/>
      <c r="M30" s="11" t="str">
        <f aca="false">IF(OR(K30="",L30=""),"",L30-K30)</f>
        <v/>
      </c>
      <c r="N30" s="7"/>
      <c r="O30" s="7"/>
      <c r="P30" s="10"/>
      <c r="Q30" s="6"/>
    </row>
    <row r="31" customFormat="false" ht="15" hidden="false" customHeight="false" outlineLevel="0" collapsed="false">
      <c r="A31" s="6" t="n">
        <v>346</v>
      </c>
      <c r="B31" s="6" t="s">
        <v>66</v>
      </c>
      <c r="C31" s="6" t="s">
        <v>21</v>
      </c>
      <c r="D31" s="6" t="s">
        <v>30</v>
      </c>
      <c r="E31" s="7" t="n">
        <v>40</v>
      </c>
      <c r="F31" s="7"/>
      <c r="G31" s="7" t="n">
        <v>6</v>
      </c>
      <c r="H31" s="8" t="n">
        <f aca="false">IF(AND(F31="",G31=""),0,SUM(F31:G31))</f>
        <v>6</v>
      </c>
      <c r="I31" s="7" t="n">
        <v>0</v>
      </c>
      <c r="J31" s="7" t="n">
        <v>6</v>
      </c>
      <c r="K31" s="7" t="n">
        <v>0</v>
      </c>
      <c r="L31" s="7" t="n">
        <v>6</v>
      </c>
      <c r="M31" s="9" t="n">
        <f aca="false">IF(OR(K31="",L31=""),"",L31-K31)</f>
        <v>6</v>
      </c>
      <c r="N31" s="7" t="n">
        <v>6</v>
      </c>
      <c r="O31" s="7" t="n">
        <v>48</v>
      </c>
      <c r="P31" s="10"/>
      <c r="Q31" s="6"/>
    </row>
    <row r="32" customFormat="false" ht="15" hidden="false" customHeight="false" outlineLevel="0" collapsed="false">
      <c r="A32" s="6" t="n">
        <v>349</v>
      </c>
      <c r="B32" s="6" t="s">
        <v>67</v>
      </c>
      <c r="C32" s="6" t="s">
        <v>21</v>
      </c>
      <c r="D32" s="6" t="s">
        <v>68</v>
      </c>
      <c r="E32" s="7" t="n">
        <v>30</v>
      </c>
      <c r="F32" s="7"/>
      <c r="G32" s="7" t="n">
        <v>26</v>
      </c>
      <c r="H32" s="8" t="n">
        <f aca="false">IF(AND(F32="",G32=""),0,SUM(F32:G32))</f>
        <v>26</v>
      </c>
      <c r="I32" s="7" t="n">
        <v>0</v>
      </c>
      <c r="J32" s="7" t="n">
        <v>26</v>
      </c>
      <c r="K32" s="7" t="n">
        <v>0</v>
      </c>
      <c r="L32" s="7"/>
      <c r="M32" s="11" t="str">
        <f aca="false">IF(OR(K32="",L32=""),"",L32-K32)</f>
        <v/>
      </c>
      <c r="N32" s="7"/>
      <c r="O32" s="7"/>
      <c r="P32" s="10"/>
      <c r="Q32" s="6"/>
    </row>
    <row r="33" customFormat="false" ht="15" hidden="false" customHeight="false" outlineLevel="0" collapsed="false">
      <c r="A33" s="6" t="n">
        <v>356</v>
      </c>
      <c r="B33" s="6" t="s">
        <v>69</v>
      </c>
      <c r="C33" s="6" t="s">
        <v>24</v>
      </c>
      <c r="D33" s="6" t="s">
        <v>63</v>
      </c>
      <c r="E33" s="7" t="n">
        <v>35</v>
      </c>
      <c r="F33" s="7" t="n">
        <v>20</v>
      </c>
      <c r="G33" s="7" t="n">
        <v>6</v>
      </c>
      <c r="H33" s="8" t="n">
        <f aca="false">IF(AND(F33="",G33=""),0,SUM(F33:G33))</f>
        <v>26</v>
      </c>
      <c r="I33" s="7" t="n">
        <v>20</v>
      </c>
      <c r="J33" s="7" t="n">
        <v>6</v>
      </c>
      <c r="K33" s="7" t="n">
        <v>1</v>
      </c>
      <c r="L33" s="7" t="n">
        <v>1</v>
      </c>
      <c r="M33" s="11" t="n">
        <f aca="false">IF(OR(K33="",L33=""),"",L33-K33)</f>
        <v>0</v>
      </c>
      <c r="N33" s="7" t="n">
        <v>21</v>
      </c>
      <c r="O33" s="7" t="n">
        <v>167</v>
      </c>
      <c r="P33" s="10"/>
      <c r="Q33" s="6"/>
    </row>
    <row r="34" customFormat="false" ht="15" hidden="false" customHeight="false" outlineLevel="0" collapsed="false">
      <c r="A34" s="6" t="n">
        <v>361</v>
      </c>
      <c r="B34" s="6" t="s">
        <v>70</v>
      </c>
      <c r="C34" s="6" t="s">
        <v>24</v>
      </c>
      <c r="D34" s="6" t="s">
        <v>32</v>
      </c>
      <c r="E34" s="7" t="n">
        <v>15</v>
      </c>
      <c r="F34" s="7" t="n">
        <v>20</v>
      </c>
      <c r="G34" s="7"/>
      <c r="H34" s="8" t="n">
        <f aca="false">IF(AND(F34="",G34=""),0,SUM(F34:G34))</f>
        <v>20</v>
      </c>
      <c r="I34" s="7" t="n">
        <v>20</v>
      </c>
      <c r="J34" s="7" t="n">
        <v>0</v>
      </c>
      <c r="K34" s="7" t="n">
        <v>0</v>
      </c>
      <c r="L34" s="7"/>
      <c r="M34" s="11" t="str">
        <f aca="false">IF(OR(K34="",L34=""),"",L34-K34)</f>
        <v/>
      </c>
      <c r="N34" s="7"/>
      <c r="O34" s="7"/>
      <c r="P34" s="10"/>
      <c r="Q34" s="6"/>
    </row>
    <row r="35" customFormat="false" ht="15" hidden="false" customHeight="false" outlineLevel="0" collapsed="false">
      <c r="A35" s="6" t="n">
        <v>370</v>
      </c>
      <c r="B35" s="6" t="s">
        <v>71</v>
      </c>
      <c r="C35" s="6" t="s">
        <v>21</v>
      </c>
      <c r="D35" s="6" t="s">
        <v>30</v>
      </c>
      <c r="E35" s="7" t="n">
        <v>40</v>
      </c>
      <c r="F35" s="7"/>
      <c r="G35" s="7" t="n">
        <v>6</v>
      </c>
      <c r="H35" s="8" t="n">
        <f aca="false">IF(AND(F35="",G35=""),0,SUM(F35:G35))</f>
        <v>6</v>
      </c>
      <c r="I35" s="7" t="n">
        <v>0</v>
      </c>
      <c r="J35" s="7" t="n">
        <v>6</v>
      </c>
      <c r="K35" s="7" t="n">
        <v>0</v>
      </c>
      <c r="L35" s="7" t="n">
        <v>0</v>
      </c>
      <c r="M35" s="11" t="n">
        <f aca="false">IF(OR(K35="",L35=""),"",L35-K35)</f>
        <v>0</v>
      </c>
      <c r="N35" s="7" t="n">
        <v>3</v>
      </c>
      <c r="O35" s="7" t="n">
        <v>24</v>
      </c>
      <c r="P35" s="10"/>
      <c r="Q35" s="6"/>
    </row>
    <row r="36" customFormat="false" ht="15" hidden="false" customHeight="false" outlineLevel="0" collapsed="false">
      <c r="A36" s="6" t="n">
        <v>371</v>
      </c>
      <c r="B36" s="6" t="s">
        <v>72</v>
      </c>
      <c r="C36" s="6" t="s">
        <v>21</v>
      </c>
      <c r="D36" s="6" t="s">
        <v>73</v>
      </c>
      <c r="E36" s="7" t="n">
        <v>40</v>
      </c>
      <c r="F36" s="7"/>
      <c r="G36" s="7" t="n">
        <v>6</v>
      </c>
      <c r="H36" s="8" t="n">
        <f aca="false">IF(AND(F36="",G36=""),0,SUM(F36:G36))</f>
        <v>6</v>
      </c>
      <c r="I36" s="7" t="n">
        <v>0</v>
      </c>
      <c r="J36" s="7" t="n">
        <v>6</v>
      </c>
      <c r="K36" s="7" t="n">
        <v>0</v>
      </c>
      <c r="L36" s="7"/>
      <c r="M36" s="11" t="str">
        <f aca="false">IF(OR(K36="",L36=""),"",L36-K36)</f>
        <v/>
      </c>
      <c r="N36" s="7"/>
      <c r="O36" s="7"/>
      <c r="P36" s="10"/>
      <c r="Q36" s="6"/>
    </row>
    <row r="37" customFormat="false" ht="15" hidden="false" customHeight="false" outlineLevel="0" collapsed="false">
      <c r="A37" s="6" t="n">
        <v>372</v>
      </c>
      <c r="B37" s="6" t="s">
        <v>74</v>
      </c>
      <c r="C37" s="6" t="s">
        <v>21</v>
      </c>
      <c r="D37" s="6" t="s">
        <v>75</v>
      </c>
      <c r="E37" s="7" t="n">
        <v>40</v>
      </c>
      <c r="F37" s="7"/>
      <c r="G37" s="7"/>
      <c r="H37" s="8" t="n">
        <f aca="false">IF(AND(F37="",G37=""),0,SUM(F37:G37))</f>
        <v>0</v>
      </c>
      <c r="I37" s="7" t="n">
        <v>0</v>
      </c>
      <c r="J37" s="7" t="n">
        <v>0</v>
      </c>
      <c r="K37" s="7" t="n">
        <v>0</v>
      </c>
      <c r="L37" s="7"/>
      <c r="M37" s="11" t="str">
        <f aca="false">IF(OR(K37="",L37=""),"",L37-K37)</f>
        <v/>
      </c>
      <c r="N37" s="7"/>
      <c r="O37" s="7"/>
      <c r="P37" s="10"/>
      <c r="Q37" s="6"/>
    </row>
    <row r="38" customFormat="false" ht="15" hidden="false" customHeight="false" outlineLevel="0" collapsed="false">
      <c r="A38" s="6" t="n">
        <v>374</v>
      </c>
      <c r="B38" s="6" t="s">
        <v>76</v>
      </c>
      <c r="C38" s="6" t="s">
        <v>77</v>
      </c>
      <c r="D38" s="6" t="s">
        <v>78</v>
      </c>
      <c r="E38" s="7" t="n">
        <v>5</v>
      </c>
      <c r="F38" s="7"/>
      <c r="G38" s="7"/>
      <c r="H38" s="8" t="n">
        <f aca="false">IF(AND(F38="",G38=""),0,SUM(F38:G38))</f>
        <v>0</v>
      </c>
      <c r="I38" s="7"/>
      <c r="J38" s="7"/>
      <c r="K38" s="7"/>
      <c r="L38" s="7"/>
      <c r="M38" s="7" t="str">
        <f aca="false">IF(OR(K38="",L38=""),"",L38-K38)</f>
        <v/>
      </c>
      <c r="N38" s="7"/>
      <c r="O38" s="7"/>
      <c r="P38" s="10"/>
      <c r="Q38" s="12" t="s">
        <v>79</v>
      </c>
    </row>
    <row r="39" customFormat="false" ht="15" hidden="false" customHeight="false" outlineLevel="0" collapsed="false">
      <c r="A39" s="6" t="n">
        <v>381</v>
      </c>
      <c r="B39" s="6" t="s">
        <v>80</v>
      </c>
      <c r="C39" s="6" t="s">
        <v>24</v>
      </c>
      <c r="D39" s="6" t="s">
        <v>45</v>
      </c>
      <c r="E39" s="7" t="n">
        <v>40</v>
      </c>
      <c r="F39" s="7" t="n">
        <v>20</v>
      </c>
      <c r="G39" s="7" t="n">
        <v>5</v>
      </c>
      <c r="H39" s="8" t="n">
        <f aca="false">IF(AND(F39="",G39=""),0,SUM(F39:G39))</f>
        <v>25</v>
      </c>
      <c r="I39" s="7" t="n">
        <v>20</v>
      </c>
      <c r="J39" s="7" t="n">
        <v>5</v>
      </c>
      <c r="K39" s="7" t="n">
        <v>0</v>
      </c>
      <c r="L39" s="7"/>
      <c r="M39" s="11" t="str">
        <f aca="false">IF(OR(K39="",L39=""),"",L39-K39)</f>
        <v/>
      </c>
      <c r="N39" s="7"/>
      <c r="O39" s="7"/>
      <c r="P39" s="10"/>
      <c r="Q39" s="6"/>
    </row>
    <row r="40" customFormat="false" ht="15" hidden="false" customHeight="false" outlineLevel="0" collapsed="false">
      <c r="A40" s="6" t="n">
        <v>420</v>
      </c>
      <c r="B40" s="6" t="s">
        <v>81</v>
      </c>
      <c r="C40" s="6" t="s">
        <v>24</v>
      </c>
      <c r="D40" s="6" t="s">
        <v>30</v>
      </c>
      <c r="E40" s="7" t="n">
        <v>40</v>
      </c>
      <c r="F40" s="7" t="n">
        <v>20</v>
      </c>
      <c r="G40" s="7" t="n">
        <v>5</v>
      </c>
      <c r="H40" s="8" t="n">
        <f aca="false">IF(AND(F40="",G40=""),0,SUM(F40:G40))</f>
        <v>25</v>
      </c>
      <c r="I40" s="7" t="n">
        <v>20</v>
      </c>
      <c r="J40" s="7" t="n">
        <v>5</v>
      </c>
      <c r="K40" s="7" t="n">
        <v>3</v>
      </c>
      <c r="L40" s="7" t="n">
        <v>3</v>
      </c>
      <c r="M40" s="11" t="n">
        <f aca="false">IF(OR(K40="",L40=""),"",L40-K40)</f>
        <v>0</v>
      </c>
      <c r="N40" s="7" t="n">
        <v>11</v>
      </c>
      <c r="O40" s="7" t="n">
        <v>88</v>
      </c>
      <c r="P40" s="10"/>
      <c r="Q40" s="6"/>
    </row>
    <row r="41" customFormat="false" ht="15" hidden="false" customHeight="false" outlineLevel="0" collapsed="false">
      <c r="A41" s="6" t="n">
        <v>425</v>
      </c>
      <c r="B41" s="6" t="s">
        <v>82</v>
      </c>
      <c r="C41" s="6" t="s">
        <v>21</v>
      </c>
      <c r="D41" s="6" t="s">
        <v>30</v>
      </c>
      <c r="E41" s="7" t="n">
        <v>40</v>
      </c>
      <c r="F41" s="7"/>
      <c r="G41" s="7"/>
      <c r="H41" s="8" t="n">
        <f aca="false">IF(AND(F41="",G41=""),0,SUM(F41:G41))</f>
        <v>0</v>
      </c>
      <c r="I41" s="7" t="n">
        <v>0</v>
      </c>
      <c r="J41" s="7" t="n">
        <v>0</v>
      </c>
      <c r="K41" s="7" t="n">
        <v>0</v>
      </c>
      <c r="L41" s="7"/>
      <c r="M41" s="11" t="str">
        <f aca="false">IF(OR(K41="",L41=""),"",L41-K41)</f>
        <v/>
      </c>
      <c r="N41" s="7"/>
      <c r="O41" s="7"/>
      <c r="P41" s="10"/>
      <c r="Q41" s="6"/>
    </row>
    <row r="42" customFormat="false" ht="15" hidden="false" customHeight="false" outlineLevel="0" collapsed="false">
      <c r="A42" s="6" t="n">
        <v>433</v>
      </c>
      <c r="B42" s="6" t="s">
        <v>83</v>
      </c>
      <c r="C42" s="6" t="s">
        <v>24</v>
      </c>
      <c r="D42" s="6" t="s">
        <v>63</v>
      </c>
      <c r="E42" s="7" t="n">
        <v>40</v>
      </c>
      <c r="F42" s="7" t="n">
        <v>20</v>
      </c>
      <c r="G42" s="7" t="n">
        <v>5</v>
      </c>
      <c r="H42" s="8" t="n">
        <f aca="false">IF(AND(F42="",G42=""),0,SUM(F42:G42))</f>
        <v>25</v>
      </c>
      <c r="I42" s="7" t="n">
        <v>20</v>
      </c>
      <c r="J42" s="7" t="n">
        <v>5</v>
      </c>
      <c r="K42" s="7" t="n">
        <v>1</v>
      </c>
      <c r="L42" s="7" t="n">
        <v>1</v>
      </c>
      <c r="M42" s="11" t="n">
        <f aca="false">IF(OR(K42="",L42=""),"",L42-K42)</f>
        <v>0</v>
      </c>
      <c r="N42" s="7" t="n">
        <v>22</v>
      </c>
      <c r="O42" s="7" t="n">
        <v>176</v>
      </c>
      <c r="P42" s="10"/>
      <c r="Q42" s="6"/>
    </row>
    <row r="43" customFormat="false" ht="15" hidden="false" customHeight="false" outlineLevel="0" collapsed="false">
      <c r="A43" s="6" t="n">
        <v>435</v>
      </c>
      <c r="B43" s="6" t="s">
        <v>84</v>
      </c>
      <c r="C43" s="6" t="s">
        <v>24</v>
      </c>
      <c r="D43" s="6" t="s">
        <v>85</v>
      </c>
      <c r="E43" s="7" t="n">
        <v>40</v>
      </c>
      <c r="F43" s="7" t="n">
        <v>20</v>
      </c>
      <c r="G43" s="7" t="n">
        <v>5</v>
      </c>
      <c r="H43" s="8" t="n">
        <f aca="false">IF(AND(F43="",G43=""),0,SUM(F43:G43))</f>
        <v>25</v>
      </c>
      <c r="I43" s="7" t="n">
        <v>20</v>
      </c>
      <c r="J43" s="7" t="n">
        <v>5</v>
      </c>
      <c r="K43" s="7" t="n">
        <v>4</v>
      </c>
      <c r="L43" s="7" t="n">
        <v>4</v>
      </c>
      <c r="M43" s="11" t="n">
        <f aca="false">IF(OR(K43="",L43=""),"",L43-K43)</f>
        <v>0</v>
      </c>
      <c r="N43" s="7" t="n">
        <v>30</v>
      </c>
      <c r="O43" s="7" t="n">
        <v>240</v>
      </c>
      <c r="P43" s="10"/>
      <c r="Q43" s="6"/>
    </row>
    <row r="44" customFormat="false" ht="15" hidden="false" customHeight="false" outlineLevel="0" collapsed="false">
      <c r="A44" s="6" t="n">
        <v>440</v>
      </c>
      <c r="B44" s="6" t="s">
        <v>86</v>
      </c>
      <c r="C44" s="6" t="s">
        <v>24</v>
      </c>
      <c r="D44" s="6" t="s">
        <v>45</v>
      </c>
      <c r="E44" s="7" t="n">
        <v>40</v>
      </c>
      <c r="F44" s="7" t="n">
        <v>20</v>
      </c>
      <c r="G44" s="7" t="n">
        <v>5</v>
      </c>
      <c r="H44" s="8" t="n">
        <f aca="false">IF(AND(F44="",G44=""),0,SUM(F44:G44))</f>
        <v>25</v>
      </c>
      <c r="I44" s="7" t="n">
        <v>20</v>
      </c>
      <c r="J44" s="7" t="n">
        <v>5</v>
      </c>
      <c r="K44" s="7" t="n">
        <v>2</v>
      </c>
      <c r="L44" s="7" t="n">
        <v>6</v>
      </c>
      <c r="M44" s="9" t="n">
        <f aca="false">IF(OR(K44="",L44=""),"",L44-K44)</f>
        <v>4</v>
      </c>
      <c r="N44" s="7" t="n">
        <v>6</v>
      </c>
      <c r="O44" s="7" t="n">
        <v>48</v>
      </c>
      <c r="P44" s="10"/>
      <c r="Q44" s="6"/>
    </row>
    <row r="45" customFormat="false" ht="15" hidden="false" customHeight="false" outlineLevel="0" collapsed="false">
      <c r="A45" s="6" t="n">
        <v>442</v>
      </c>
      <c r="B45" s="6" t="s">
        <v>87</v>
      </c>
      <c r="C45" s="6" t="s">
        <v>24</v>
      </c>
      <c r="D45" s="6" t="s">
        <v>45</v>
      </c>
      <c r="E45" s="7" t="n">
        <v>40</v>
      </c>
      <c r="F45" s="7" t="n">
        <v>20</v>
      </c>
      <c r="G45" s="7" t="n">
        <v>5</v>
      </c>
      <c r="H45" s="8" t="n">
        <f aca="false">IF(AND(F45="",G45=""),0,SUM(F45:G45))</f>
        <v>25</v>
      </c>
      <c r="I45" s="7" t="n">
        <v>20</v>
      </c>
      <c r="J45" s="7" t="n">
        <v>5</v>
      </c>
      <c r="K45" s="7" t="n">
        <v>2</v>
      </c>
      <c r="L45" s="7" t="n">
        <v>2</v>
      </c>
      <c r="M45" s="11" t="n">
        <f aca="false">IF(OR(K45="",L45=""),"",L45-K45)</f>
        <v>0</v>
      </c>
      <c r="N45" s="7" t="n">
        <v>2</v>
      </c>
      <c r="O45" s="7" t="n">
        <v>16</v>
      </c>
      <c r="P45" s="10"/>
      <c r="Q45" s="6"/>
    </row>
    <row r="46" customFormat="false" ht="15" hidden="false" customHeight="false" outlineLevel="0" collapsed="false">
      <c r="A46" s="6" t="n">
        <v>456</v>
      </c>
      <c r="B46" s="6" t="s">
        <v>88</v>
      </c>
      <c r="C46" s="6" t="s">
        <v>24</v>
      </c>
      <c r="D46" s="6" t="s">
        <v>89</v>
      </c>
      <c r="E46" s="7" t="n">
        <v>40</v>
      </c>
      <c r="F46" s="7" t="n">
        <v>20</v>
      </c>
      <c r="G46" s="7" t="n">
        <v>5</v>
      </c>
      <c r="H46" s="8" t="n">
        <f aca="false">IF(AND(F46="",G46=""),0,SUM(F46:G46))</f>
        <v>25</v>
      </c>
      <c r="I46" s="7" t="n">
        <v>20</v>
      </c>
      <c r="J46" s="7" t="n">
        <v>5</v>
      </c>
      <c r="K46" s="7" t="n">
        <v>11</v>
      </c>
      <c r="L46" s="7" t="n">
        <v>11</v>
      </c>
      <c r="M46" s="11" t="n">
        <f aca="false">IF(OR(K46="",L46=""),"",L46-K46)</f>
        <v>0</v>
      </c>
      <c r="N46" s="7" t="n">
        <v>23</v>
      </c>
      <c r="O46" s="7" t="n">
        <v>184</v>
      </c>
      <c r="P46" s="10"/>
      <c r="Q46" s="6"/>
    </row>
    <row r="47" customFormat="false" ht="15" hidden="false" customHeight="false" outlineLevel="0" collapsed="false">
      <c r="A47" s="6" t="n">
        <v>464</v>
      </c>
      <c r="B47" s="6" t="s">
        <v>90</v>
      </c>
      <c r="C47" s="6" t="s">
        <v>21</v>
      </c>
      <c r="D47" s="6" t="s">
        <v>47</v>
      </c>
      <c r="E47" s="7" t="n">
        <v>40</v>
      </c>
      <c r="F47" s="7"/>
      <c r="G47" s="7"/>
      <c r="H47" s="8" t="n">
        <f aca="false">IF(AND(F47="",G47=""),0,SUM(F47:G47))</f>
        <v>0</v>
      </c>
      <c r="I47" s="7" t="n">
        <v>0</v>
      </c>
      <c r="J47" s="7" t="n">
        <v>0</v>
      </c>
      <c r="K47" s="7" t="n">
        <v>0</v>
      </c>
      <c r="L47" s="7"/>
      <c r="M47" s="11" t="str">
        <f aca="false">IF(OR(K47="",L47=""),"",L47-K47)</f>
        <v/>
      </c>
      <c r="N47" s="7"/>
      <c r="O47" s="7"/>
      <c r="P47" s="10"/>
      <c r="Q47" s="6"/>
    </row>
    <row r="48" customFormat="false" ht="15" hidden="false" customHeight="false" outlineLevel="0" collapsed="false">
      <c r="A48" s="6" t="n">
        <v>465</v>
      </c>
      <c r="B48" s="6" t="s">
        <v>91</v>
      </c>
      <c r="C48" s="6" t="s">
        <v>24</v>
      </c>
      <c r="D48" s="6" t="s">
        <v>92</v>
      </c>
      <c r="E48" s="7" t="n">
        <v>40</v>
      </c>
      <c r="F48" s="7" t="n">
        <v>20</v>
      </c>
      <c r="G48" s="7" t="n">
        <v>5</v>
      </c>
      <c r="H48" s="8" t="n">
        <f aca="false">IF(AND(F48="",G48=""),0,SUM(F48:G48))</f>
        <v>25</v>
      </c>
      <c r="I48" s="7" t="n">
        <v>20</v>
      </c>
      <c r="J48" s="7" t="n">
        <v>5</v>
      </c>
      <c r="K48" s="7" t="n">
        <v>1</v>
      </c>
      <c r="L48" s="7" t="n">
        <v>1</v>
      </c>
      <c r="M48" s="11" t="n">
        <f aca="false">IF(OR(K48="",L48=""),"",L48-K48)</f>
        <v>0</v>
      </c>
      <c r="N48" s="7" t="n">
        <v>20</v>
      </c>
      <c r="O48" s="7" t="n">
        <v>156</v>
      </c>
      <c r="P48" s="10"/>
      <c r="Q48" s="6"/>
    </row>
    <row r="49" customFormat="false" ht="15" hidden="false" customHeight="false" outlineLevel="0" collapsed="false">
      <c r="A49" s="6" t="n">
        <v>472</v>
      </c>
      <c r="B49" s="6" t="s">
        <v>93</v>
      </c>
      <c r="C49" s="6" t="s">
        <v>24</v>
      </c>
      <c r="D49" s="6" t="s">
        <v>92</v>
      </c>
      <c r="E49" s="7" t="n">
        <v>40</v>
      </c>
      <c r="F49" s="7" t="n">
        <v>20</v>
      </c>
      <c r="G49" s="7" t="n">
        <v>5</v>
      </c>
      <c r="H49" s="8" t="n">
        <f aca="false">IF(AND(F49="",G49=""),0,SUM(F49:G49))</f>
        <v>25</v>
      </c>
      <c r="I49" s="7" t="n">
        <v>20</v>
      </c>
      <c r="J49" s="7" t="n">
        <v>5</v>
      </c>
      <c r="K49" s="7" t="n">
        <v>2</v>
      </c>
      <c r="L49" s="7" t="n">
        <v>3</v>
      </c>
      <c r="M49" s="9" t="n">
        <f aca="false">IF(OR(K49="",L49=""),"",L49-K49)</f>
        <v>1</v>
      </c>
      <c r="N49" s="7" t="n">
        <v>20</v>
      </c>
      <c r="O49" s="7" t="n">
        <v>136</v>
      </c>
      <c r="P49" s="10"/>
      <c r="Q49" s="6"/>
    </row>
    <row r="50" customFormat="false" ht="15" hidden="false" customHeight="false" outlineLevel="0" collapsed="false">
      <c r="A50" s="6" t="n">
        <v>474</v>
      </c>
      <c r="B50" s="6" t="s">
        <v>94</v>
      </c>
      <c r="C50" s="6" t="s">
        <v>24</v>
      </c>
      <c r="D50" s="6" t="s">
        <v>95</v>
      </c>
      <c r="E50" s="7" t="n">
        <v>40</v>
      </c>
      <c r="F50" s="7" t="n">
        <v>20</v>
      </c>
      <c r="G50" s="7" t="n">
        <v>5</v>
      </c>
      <c r="H50" s="8" t="n">
        <f aca="false">IF(AND(F50="",G50=""),0,SUM(F50:G50))</f>
        <v>25</v>
      </c>
      <c r="I50" s="7" t="n">
        <v>20</v>
      </c>
      <c r="J50" s="7" t="n">
        <v>5</v>
      </c>
      <c r="K50" s="7" t="n">
        <v>3</v>
      </c>
      <c r="L50" s="7" t="n">
        <v>3</v>
      </c>
      <c r="M50" s="11" t="n">
        <f aca="false">IF(OR(K50="",L50=""),"",L50-K50)</f>
        <v>0</v>
      </c>
      <c r="N50" s="7" t="n">
        <v>3</v>
      </c>
      <c r="O50" s="7" t="n">
        <v>24</v>
      </c>
      <c r="P50" s="10"/>
      <c r="Q50" s="6"/>
    </row>
    <row r="51" customFormat="false" ht="15" hidden="false" customHeight="false" outlineLevel="0" collapsed="false">
      <c r="A51" s="6" t="n">
        <v>475</v>
      </c>
      <c r="B51" s="6" t="s">
        <v>96</v>
      </c>
      <c r="C51" s="6" t="s">
        <v>24</v>
      </c>
      <c r="D51" s="6" t="s">
        <v>97</v>
      </c>
      <c r="E51" s="7" t="n">
        <v>32</v>
      </c>
      <c r="F51" s="7" t="n">
        <v>20</v>
      </c>
      <c r="G51" s="7"/>
      <c r="H51" s="8" t="n">
        <f aca="false">IF(AND(F51="",G51=""),0,SUM(F51:G51))</f>
        <v>20</v>
      </c>
      <c r="I51" s="7" t="n">
        <v>20</v>
      </c>
      <c r="J51" s="7" t="n">
        <v>0</v>
      </c>
      <c r="K51" s="7" t="n">
        <v>3</v>
      </c>
      <c r="L51" s="7" t="n">
        <v>4</v>
      </c>
      <c r="M51" s="9" t="n">
        <f aca="false">IF(OR(K51="",L51=""),"",L51-K51)</f>
        <v>1</v>
      </c>
      <c r="N51" s="7" t="n">
        <v>7</v>
      </c>
      <c r="O51" s="7" t="n">
        <v>29</v>
      </c>
      <c r="P51" s="10"/>
      <c r="Q51" s="6"/>
    </row>
    <row r="52" customFormat="false" ht="15" hidden="false" customHeight="false" outlineLevel="0" collapsed="false">
      <c r="A52" s="6" t="n">
        <v>476</v>
      </c>
      <c r="B52" s="6" t="s">
        <v>98</v>
      </c>
      <c r="C52" s="6" t="s">
        <v>24</v>
      </c>
      <c r="D52" s="6" t="s">
        <v>99</v>
      </c>
      <c r="E52" s="7" t="n">
        <v>40</v>
      </c>
      <c r="F52" s="7" t="n">
        <v>20</v>
      </c>
      <c r="G52" s="7" t="n">
        <v>5</v>
      </c>
      <c r="H52" s="8" t="n">
        <f aca="false">IF(AND(F52="",G52=""),0,SUM(F52:G52))</f>
        <v>25</v>
      </c>
      <c r="I52" s="7" t="n">
        <v>20</v>
      </c>
      <c r="J52" s="7" t="n">
        <v>5</v>
      </c>
      <c r="K52" s="7" t="n">
        <v>4</v>
      </c>
      <c r="L52" s="7" t="n">
        <v>6</v>
      </c>
      <c r="M52" s="9" t="n">
        <f aca="false">IF(OR(K52="",L52=""),"",L52-K52)</f>
        <v>2</v>
      </c>
      <c r="N52" s="7" t="n">
        <v>17</v>
      </c>
      <c r="O52" s="7" t="n">
        <v>116</v>
      </c>
      <c r="P52" s="10"/>
      <c r="Q52" s="6"/>
    </row>
    <row r="53" customFormat="false" ht="15" hidden="false" customHeight="false" outlineLevel="0" collapsed="false">
      <c r="A53" s="6" t="n">
        <v>483</v>
      </c>
      <c r="B53" s="6" t="s">
        <v>100</v>
      </c>
      <c r="C53" s="6" t="s">
        <v>24</v>
      </c>
      <c r="D53" s="6" t="s">
        <v>101</v>
      </c>
      <c r="E53" s="7" t="n">
        <v>40</v>
      </c>
      <c r="F53" s="7" t="n">
        <v>20</v>
      </c>
      <c r="G53" s="7" t="n">
        <v>5</v>
      </c>
      <c r="H53" s="8" t="n">
        <f aca="false">IF(AND(F53="",G53=""),0,SUM(F53:G53))</f>
        <v>25</v>
      </c>
      <c r="I53" s="7" t="n">
        <v>20</v>
      </c>
      <c r="J53" s="7" t="n">
        <v>5</v>
      </c>
      <c r="K53" s="7" t="n">
        <v>3</v>
      </c>
      <c r="L53" s="7" t="n">
        <v>3</v>
      </c>
      <c r="M53" s="11" t="n">
        <f aca="false">IF(OR(K53="",L53=""),"",L53-K53)</f>
        <v>0</v>
      </c>
      <c r="N53" s="7" t="n">
        <v>14</v>
      </c>
      <c r="O53" s="7" t="n">
        <v>112</v>
      </c>
      <c r="P53" s="10"/>
      <c r="Q53" s="6"/>
    </row>
    <row r="54" customFormat="false" ht="15" hidden="false" customHeight="false" outlineLevel="0" collapsed="false">
      <c r="A54" s="6" t="n">
        <v>486</v>
      </c>
      <c r="B54" s="6" t="s">
        <v>102</v>
      </c>
      <c r="C54" s="6" t="s">
        <v>24</v>
      </c>
      <c r="D54" s="6" t="s">
        <v>103</v>
      </c>
      <c r="E54" s="7" t="n">
        <v>40</v>
      </c>
      <c r="F54" s="7" t="n">
        <v>20</v>
      </c>
      <c r="G54" s="7" t="n">
        <v>5</v>
      </c>
      <c r="H54" s="8" t="n">
        <f aca="false">IF(AND(F54="",G54=""),0,SUM(F54:G54))</f>
        <v>25</v>
      </c>
      <c r="I54" s="7" t="n">
        <v>20</v>
      </c>
      <c r="J54" s="7" t="n">
        <v>5</v>
      </c>
      <c r="K54" s="7" t="n">
        <v>14.5</v>
      </c>
      <c r="L54" s="7" t="n">
        <v>15</v>
      </c>
      <c r="M54" s="11" t="n">
        <f aca="false">IF(OR(K54="",L54=""),"",L54-K54)</f>
        <v>0.5</v>
      </c>
      <c r="N54" s="7" t="n">
        <v>19</v>
      </c>
      <c r="O54" s="7" t="n">
        <v>144</v>
      </c>
      <c r="P54" s="10"/>
      <c r="Q54" s="6"/>
    </row>
    <row r="55" customFormat="false" ht="15" hidden="false" customHeight="false" outlineLevel="0" collapsed="false">
      <c r="A55" s="6" t="n">
        <v>488</v>
      </c>
      <c r="B55" s="6" t="s">
        <v>104</v>
      </c>
      <c r="C55" s="6" t="s">
        <v>24</v>
      </c>
      <c r="D55" s="6" t="s">
        <v>105</v>
      </c>
      <c r="E55" s="7" t="n">
        <v>40</v>
      </c>
      <c r="F55" s="7" t="n">
        <v>20</v>
      </c>
      <c r="G55" s="7" t="n">
        <v>5</v>
      </c>
      <c r="H55" s="8" t="n">
        <f aca="false">IF(AND(F55="",G55=""),0,SUM(F55:G55))</f>
        <v>25</v>
      </c>
      <c r="I55" s="7" t="n">
        <v>20</v>
      </c>
      <c r="J55" s="7" t="n">
        <v>5</v>
      </c>
      <c r="K55" s="7" t="n">
        <v>3</v>
      </c>
      <c r="L55" s="7" t="n">
        <v>4</v>
      </c>
      <c r="M55" s="9" t="n">
        <f aca="false">IF(OR(K55="",L55=""),"",L55-K55)</f>
        <v>1</v>
      </c>
      <c r="N55" s="7" t="n">
        <v>18</v>
      </c>
      <c r="O55" s="7" t="n">
        <v>132</v>
      </c>
      <c r="P55" s="10"/>
      <c r="Q55" s="6"/>
    </row>
    <row r="56" customFormat="false" ht="15" hidden="false" customHeight="false" outlineLevel="0" collapsed="false">
      <c r="A56" s="6" t="n">
        <v>489</v>
      </c>
      <c r="B56" s="6" t="s">
        <v>106</v>
      </c>
      <c r="C56" s="6" t="s">
        <v>24</v>
      </c>
      <c r="D56" s="6" t="s">
        <v>105</v>
      </c>
      <c r="E56" s="7" t="n">
        <v>40</v>
      </c>
      <c r="F56" s="7" t="n">
        <v>20</v>
      </c>
      <c r="G56" s="7" t="n">
        <v>5</v>
      </c>
      <c r="H56" s="8" t="n">
        <f aca="false">IF(AND(F56="",G56=""),0,SUM(F56:G56))</f>
        <v>25</v>
      </c>
      <c r="I56" s="7" t="n">
        <v>20</v>
      </c>
      <c r="J56" s="7" t="n">
        <v>5</v>
      </c>
      <c r="K56" s="7" t="n">
        <v>2</v>
      </c>
      <c r="L56" s="7" t="n">
        <v>2</v>
      </c>
      <c r="M56" s="11" t="n">
        <f aca="false">IF(OR(K56="",L56=""),"",L56-K56)</f>
        <v>0</v>
      </c>
      <c r="N56" s="7" t="n">
        <v>3</v>
      </c>
      <c r="O56" s="7" t="n">
        <v>24</v>
      </c>
      <c r="P56" s="10"/>
      <c r="Q56" s="6"/>
    </row>
    <row r="57" customFormat="false" ht="15" hidden="false" customHeight="false" outlineLevel="0" collapsed="false">
      <c r="A57" s="6" t="n">
        <v>493</v>
      </c>
      <c r="B57" s="6" t="s">
        <v>107</v>
      </c>
      <c r="C57" s="6" t="s">
        <v>24</v>
      </c>
      <c r="D57" s="6" t="s">
        <v>42</v>
      </c>
      <c r="E57" s="7" t="n">
        <v>40</v>
      </c>
      <c r="F57" s="7" t="n">
        <v>20</v>
      </c>
      <c r="G57" s="7" t="n">
        <v>5</v>
      </c>
      <c r="H57" s="8" t="n">
        <f aca="false">IF(AND(F57="",G57=""),0,SUM(F57:G57))</f>
        <v>25</v>
      </c>
      <c r="I57" s="7" t="n">
        <v>20</v>
      </c>
      <c r="J57" s="7" t="n">
        <v>5</v>
      </c>
      <c r="K57" s="7" t="n">
        <v>4</v>
      </c>
      <c r="L57" s="7" t="n">
        <v>4</v>
      </c>
      <c r="M57" s="11" t="n">
        <f aca="false">IF(OR(K57="",L57=""),"",L57-K57)</f>
        <v>0</v>
      </c>
      <c r="N57" s="7" t="n">
        <v>19</v>
      </c>
      <c r="O57" s="7" t="n">
        <v>140</v>
      </c>
      <c r="P57" s="10"/>
      <c r="Q57" s="6"/>
    </row>
    <row r="58" customFormat="false" ht="15" hidden="false" customHeight="false" outlineLevel="0" collapsed="false">
      <c r="A58" s="6" t="n">
        <v>494</v>
      </c>
      <c r="B58" s="6" t="s">
        <v>108</v>
      </c>
      <c r="C58" s="6" t="s">
        <v>24</v>
      </c>
      <c r="D58" s="6" t="s">
        <v>49</v>
      </c>
      <c r="E58" s="7" t="n">
        <v>40</v>
      </c>
      <c r="F58" s="7" t="n">
        <v>20</v>
      </c>
      <c r="G58" s="7" t="n">
        <v>5</v>
      </c>
      <c r="H58" s="8" t="n">
        <f aca="false">IF(AND(F58="",G58=""),0,SUM(F58:G58))</f>
        <v>25</v>
      </c>
      <c r="I58" s="7" t="n">
        <v>20</v>
      </c>
      <c r="J58" s="7" t="n">
        <v>5</v>
      </c>
      <c r="K58" s="7" t="n">
        <v>6</v>
      </c>
      <c r="L58" s="7" t="n">
        <v>6</v>
      </c>
      <c r="M58" s="11" t="n">
        <f aca="false">IF(OR(K58="",L58=""),"",L58-K58)</f>
        <v>0</v>
      </c>
      <c r="N58" s="7" t="n">
        <v>21</v>
      </c>
      <c r="O58" s="7" t="n">
        <v>168</v>
      </c>
      <c r="P58" s="10"/>
      <c r="Q58" s="6"/>
    </row>
    <row r="59" customFormat="false" ht="15" hidden="false" customHeight="false" outlineLevel="0" collapsed="false">
      <c r="A59" s="6" t="n">
        <v>496</v>
      </c>
      <c r="B59" s="6" t="s">
        <v>109</v>
      </c>
      <c r="C59" s="6" t="s">
        <v>24</v>
      </c>
      <c r="D59" s="6" t="s">
        <v>110</v>
      </c>
      <c r="E59" s="7" t="n">
        <v>40</v>
      </c>
      <c r="F59" s="7" t="n">
        <v>20</v>
      </c>
      <c r="G59" s="7" t="n">
        <v>5</v>
      </c>
      <c r="H59" s="8" t="n">
        <f aca="false">IF(AND(F59="",G59=""),0,SUM(F59:G59))</f>
        <v>25</v>
      </c>
      <c r="I59" s="7" t="n">
        <v>20</v>
      </c>
      <c r="J59" s="7" t="n">
        <v>5</v>
      </c>
      <c r="K59" s="7" t="n">
        <v>0</v>
      </c>
      <c r="L59" s="7" t="n">
        <v>0</v>
      </c>
      <c r="M59" s="11" t="n">
        <f aca="false">IF(OR(K59="",L59=""),"",L59-K59)</f>
        <v>0</v>
      </c>
      <c r="N59" s="7" t="n">
        <v>10</v>
      </c>
      <c r="O59" s="7" t="n">
        <v>80</v>
      </c>
      <c r="P59" s="10"/>
      <c r="Q59" s="6"/>
    </row>
    <row r="60" customFormat="false" ht="15" hidden="false" customHeight="false" outlineLevel="0" collapsed="false">
      <c r="A60" s="6" t="n">
        <v>498</v>
      </c>
      <c r="B60" s="6" t="s">
        <v>111</v>
      </c>
      <c r="C60" s="6" t="s">
        <v>24</v>
      </c>
      <c r="D60" s="6" t="s">
        <v>112</v>
      </c>
      <c r="E60" s="7" t="n">
        <v>40</v>
      </c>
      <c r="F60" s="7" t="n">
        <v>20</v>
      </c>
      <c r="G60" s="7" t="n">
        <v>5</v>
      </c>
      <c r="H60" s="8" t="n">
        <f aca="false">IF(AND(F60="",G60=""),0,SUM(F60:G60))</f>
        <v>25</v>
      </c>
      <c r="I60" s="7" t="n">
        <v>20</v>
      </c>
      <c r="J60" s="7" t="n">
        <v>5</v>
      </c>
      <c r="K60" s="7" t="n">
        <v>3</v>
      </c>
      <c r="L60" s="7" t="n">
        <v>3</v>
      </c>
      <c r="M60" s="11" t="n">
        <f aca="false">IF(OR(K60="",L60=""),"",L60-K60)</f>
        <v>0</v>
      </c>
      <c r="N60" s="7" t="n">
        <v>15</v>
      </c>
      <c r="O60" s="7" t="n">
        <v>120</v>
      </c>
      <c r="P60" s="10"/>
      <c r="Q60" s="6"/>
    </row>
    <row r="61" customFormat="false" ht="15" hidden="false" customHeight="false" outlineLevel="0" collapsed="false">
      <c r="A61" s="6" t="n">
        <v>501</v>
      </c>
      <c r="B61" s="6" t="s">
        <v>113</v>
      </c>
      <c r="C61" s="6" t="s">
        <v>24</v>
      </c>
      <c r="D61" s="6" t="s">
        <v>114</v>
      </c>
      <c r="E61" s="7" t="n">
        <v>40</v>
      </c>
      <c r="F61" s="7" t="n">
        <v>20</v>
      </c>
      <c r="G61" s="7" t="n">
        <v>5</v>
      </c>
      <c r="H61" s="8" t="n">
        <f aca="false">IF(AND(F61="",G61=""),0,SUM(F61:G61))</f>
        <v>25</v>
      </c>
      <c r="I61" s="7" t="n">
        <v>20</v>
      </c>
      <c r="J61" s="7" t="n">
        <v>5</v>
      </c>
      <c r="K61" s="7" t="n">
        <v>3</v>
      </c>
      <c r="L61" s="7" t="n">
        <v>3</v>
      </c>
      <c r="M61" s="11" t="n">
        <f aca="false">IF(OR(K61="",L61=""),"",L61-K61)</f>
        <v>0</v>
      </c>
      <c r="N61" s="7" t="n">
        <v>7</v>
      </c>
      <c r="O61" s="7" t="n">
        <v>56</v>
      </c>
      <c r="P61" s="10"/>
      <c r="Q61" s="6"/>
    </row>
    <row r="62" customFormat="false" ht="15" hidden="false" customHeight="false" outlineLevel="0" collapsed="false">
      <c r="A62" s="6" t="n">
        <v>502</v>
      </c>
      <c r="B62" s="6" t="s">
        <v>115</v>
      </c>
      <c r="C62" s="6" t="s">
        <v>24</v>
      </c>
      <c r="D62" s="6" t="s">
        <v>110</v>
      </c>
      <c r="E62" s="7" t="n">
        <v>40</v>
      </c>
      <c r="F62" s="7" t="n">
        <v>20</v>
      </c>
      <c r="G62" s="7" t="n">
        <v>5</v>
      </c>
      <c r="H62" s="8" t="n">
        <f aca="false">IF(AND(F62="",G62=""),0,SUM(F62:G62))</f>
        <v>25</v>
      </c>
      <c r="I62" s="7" t="n">
        <v>20</v>
      </c>
      <c r="J62" s="7" t="n">
        <v>5</v>
      </c>
      <c r="K62" s="7" t="n">
        <v>5</v>
      </c>
      <c r="L62" s="7" t="n">
        <v>5</v>
      </c>
      <c r="M62" s="11" t="n">
        <f aca="false">IF(OR(K62="",L62=""),"",L62-K62)</f>
        <v>0</v>
      </c>
      <c r="N62" s="7" t="n">
        <v>17</v>
      </c>
      <c r="O62" s="7" t="n">
        <v>136</v>
      </c>
      <c r="P62" s="10"/>
      <c r="Q62" s="6"/>
    </row>
    <row r="63" customFormat="false" ht="15" hidden="false" customHeight="false" outlineLevel="0" collapsed="false">
      <c r="A63" s="6" t="n">
        <v>515</v>
      </c>
      <c r="B63" s="6" t="s">
        <v>116</v>
      </c>
      <c r="C63" s="6" t="s">
        <v>24</v>
      </c>
      <c r="D63" s="6" t="s">
        <v>117</v>
      </c>
      <c r="E63" s="7" t="n">
        <v>40</v>
      </c>
      <c r="F63" s="7" t="n">
        <v>20</v>
      </c>
      <c r="G63" s="7" t="n">
        <v>5</v>
      </c>
      <c r="H63" s="8" t="n">
        <f aca="false">IF(AND(F63="",G63=""),0,SUM(F63:G63))</f>
        <v>25</v>
      </c>
      <c r="I63" s="7" t="n">
        <v>20</v>
      </c>
      <c r="J63" s="7" t="n">
        <v>5</v>
      </c>
      <c r="K63" s="7" t="n">
        <v>5</v>
      </c>
      <c r="L63" s="7" t="n">
        <v>5</v>
      </c>
      <c r="M63" s="11" t="n">
        <f aca="false">IF(OR(K63="",L63=""),"",L63-K63)</f>
        <v>0</v>
      </c>
      <c r="N63" s="7" t="n">
        <v>17</v>
      </c>
      <c r="O63" s="7" t="n">
        <v>136</v>
      </c>
      <c r="P63" s="10"/>
      <c r="Q63" s="6"/>
    </row>
    <row r="64" customFormat="false" ht="15" hidden="false" customHeight="false" outlineLevel="0" collapsed="false">
      <c r="A64" s="6" t="n">
        <v>517</v>
      </c>
      <c r="B64" s="6" t="s">
        <v>118</v>
      </c>
      <c r="C64" s="6" t="s">
        <v>24</v>
      </c>
      <c r="D64" s="6" t="s">
        <v>112</v>
      </c>
      <c r="E64" s="7" t="n">
        <v>40</v>
      </c>
      <c r="F64" s="7" t="n">
        <v>20</v>
      </c>
      <c r="G64" s="7" t="n">
        <v>5</v>
      </c>
      <c r="H64" s="8" t="n">
        <f aca="false">IF(AND(F64="",G64=""),0,SUM(F64:G64))</f>
        <v>25</v>
      </c>
      <c r="I64" s="7" t="n">
        <v>20</v>
      </c>
      <c r="J64" s="7" t="n">
        <v>5</v>
      </c>
      <c r="K64" s="7" t="n">
        <v>4</v>
      </c>
      <c r="L64" s="7" t="n">
        <v>4</v>
      </c>
      <c r="M64" s="11" t="n">
        <f aca="false">IF(OR(K64="",L64=""),"",L64-K64)</f>
        <v>0</v>
      </c>
      <c r="N64" s="7" t="n">
        <v>12</v>
      </c>
      <c r="O64" s="7" t="n">
        <v>92</v>
      </c>
      <c r="P64" s="10"/>
      <c r="Q64" s="6"/>
    </row>
    <row r="65" customFormat="false" ht="15" hidden="false" customHeight="false" outlineLevel="0" collapsed="false">
      <c r="A65" s="6" t="n">
        <v>522</v>
      </c>
      <c r="B65" s="6" t="s">
        <v>119</v>
      </c>
      <c r="C65" s="6" t="s">
        <v>24</v>
      </c>
      <c r="D65" s="6" t="s">
        <v>120</v>
      </c>
      <c r="E65" s="7" t="n">
        <v>40</v>
      </c>
      <c r="F65" s="7" t="n">
        <v>20</v>
      </c>
      <c r="G65" s="7" t="n">
        <v>5</v>
      </c>
      <c r="H65" s="8" t="n">
        <f aca="false">IF(AND(F65="",G65=""),0,SUM(F65:G65))</f>
        <v>25</v>
      </c>
      <c r="I65" s="7" t="n">
        <v>20</v>
      </c>
      <c r="J65" s="7" t="n">
        <v>5</v>
      </c>
      <c r="K65" s="7" t="n">
        <v>8</v>
      </c>
      <c r="L65" s="7" t="n">
        <v>8</v>
      </c>
      <c r="M65" s="11" t="n">
        <f aca="false">IF(OR(K65="",L65=""),"",L65-K65)</f>
        <v>0</v>
      </c>
      <c r="N65" s="7" t="n">
        <v>19</v>
      </c>
      <c r="O65" s="7" t="n">
        <v>152</v>
      </c>
      <c r="P65" s="10"/>
      <c r="Q65" s="6"/>
    </row>
    <row r="66" customFormat="false" ht="15" hidden="false" customHeight="false" outlineLevel="0" collapsed="false">
      <c r="A66" s="6" t="n">
        <v>525</v>
      </c>
      <c r="B66" s="6" t="s">
        <v>121</v>
      </c>
      <c r="C66" s="6" t="s">
        <v>77</v>
      </c>
      <c r="D66" s="6" t="s">
        <v>122</v>
      </c>
      <c r="E66" s="7"/>
      <c r="F66" s="7"/>
      <c r="G66" s="7"/>
      <c r="H66" s="8" t="n">
        <f aca="false">IF(AND(F66="",G66=""),0,SUM(F66:G66))</f>
        <v>0</v>
      </c>
      <c r="I66" s="7"/>
      <c r="J66" s="7"/>
      <c r="K66" s="7"/>
      <c r="L66" s="7"/>
      <c r="M66" s="7" t="str">
        <f aca="false">IF(OR(K66="",L66=""),"",L66-K66)</f>
        <v/>
      </c>
      <c r="N66" s="7"/>
      <c r="O66" s="7"/>
      <c r="P66" s="10"/>
      <c r="Q66" s="12" t="s">
        <v>79</v>
      </c>
    </row>
    <row r="67" customFormat="false" ht="15" hidden="false" customHeight="false" outlineLevel="0" collapsed="false">
      <c r="A67" s="13" t="n">
        <v>532</v>
      </c>
      <c r="B67" s="13" t="s">
        <v>123</v>
      </c>
      <c r="C67" s="13" t="s">
        <v>24</v>
      </c>
      <c r="D67" s="13" t="s">
        <v>124</v>
      </c>
      <c r="E67" s="14" t="n">
        <v>40</v>
      </c>
      <c r="F67" s="14" t="n">
        <v>20</v>
      </c>
      <c r="G67" s="14" t="n">
        <v>5</v>
      </c>
      <c r="H67" s="15" t="n">
        <f aca="false">IF(AND(F67="",G67=""),0,SUM(F67:G67))</f>
        <v>25</v>
      </c>
      <c r="I67" s="14" t="n">
        <v>13.5</v>
      </c>
      <c r="J67" s="14" t="n">
        <v>3.5</v>
      </c>
      <c r="K67" s="7" t="n">
        <v>6</v>
      </c>
      <c r="L67" s="7" t="n">
        <v>6</v>
      </c>
      <c r="M67" s="11" t="n">
        <f aca="false">IF(OR(K67="",L67=""),"",L67-K67)</f>
        <v>0</v>
      </c>
      <c r="N67" s="7" t="n">
        <v>17</v>
      </c>
      <c r="O67" s="7" t="n">
        <v>136</v>
      </c>
      <c r="P67" s="10"/>
      <c r="Q67" s="12" t="s">
        <v>125</v>
      </c>
    </row>
    <row r="68" customFormat="false" ht="15" hidden="false" customHeight="false" outlineLevel="0" collapsed="false">
      <c r="A68" s="6" t="n">
        <v>533</v>
      </c>
      <c r="B68" s="6" t="s">
        <v>126</v>
      </c>
      <c r="C68" s="6" t="s">
        <v>24</v>
      </c>
      <c r="D68" s="6" t="s">
        <v>127</v>
      </c>
      <c r="E68" s="7" t="n">
        <v>40</v>
      </c>
      <c r="F68" s="7" t="n">
        <v>20</v>
      </c>
      <c r="G68" s="7" t="n">
        <v>5</v>
      </c>
      <c r="H68" s="8" t="n">
        <f aca="false">IF(AND(F68="",G68=""),0,SUM(F68:G68))</f>
        <v>25</v>
      </c>
      <c r="I68" s="7" t="n">
        <v>20</v>
      </c>
      <c r="J68" s="7" t="n">
        <v>5</v>
      </c>
      <c r="K68" s="7" t="n">
        <v>3.5</v>
      </c>
      <c r="L68" s="7" t="n">
        <v>4</v>
      </c>
      <c r="M68" s="11" t="n">
        <f aca="false">IF(OR(K68="",L68=""),"",L68-K68)</f>
        <v>0.5</v>
      </c>
      <c r="N68" s="7" t="n">
        <v>13</v>
      </c>
      <c r="O68" s="7" t="n">
        <v>100</v>
      </c>
      <c r="P68" s="10"/>
      <c r="Q68" s="6"/>
    </row>
    <row r="69" customFormat="false" ht="15" hidden="false" customHeight="false" outlineLevel="0" collapsed="false">
      <c r="A69" s="13" t="n">
        <v>536</v>
      </c>
      <c r="B69" s="13" t="s">
        <v>128</v>
      </c>
      <c r="C69" s="13" t="s">
        <v>24</v>
      </c>
      <c r="D69" s="13" t="s">
        <v>129</v>
      </c>
      <c r="E69" s="14" t="n">
        <v>40</v>
      </c>
      <c r="F69" s="14" t="n">
        <v>20</v>
      </c>
      <c r="G69" s="14" t="n">
        <v>5</v>
      </c>
      <c r="H69" s="15" t="n">
        <f aca="false">IF(AND(F69="",G69=""),0,SUM(F69:G69))</f>
        <v>25</v>
      </c>
      <c r="I69" s="14" t="n">
        <v>13.5</v>
      </c>
      <c r="J69" s="14" t="n">
        <v>4</v>
      </c>
      <c r="K69" s="7" t="n">
        <v>0</v>
      </c>
      <c r="L69" s="7" t="n">
        <v>0</v>
      </c>
      <c r="M69" s="11" t="n">
        <f aca="false">IF(OR(K69="",L69=""),"",L69-K69)</f>
        <v>0</v>
      </c>
      <c r="N69" s="7" t="n">
        <v>4</v>
      </c>
      <c r="O69" s="7" t="n">
        <v>32</v>
      </c>
      <c r="P69" s="10"/>
      <c r="Q69" s="12" t="s">
        <v>125</v>
      </c>
    </row>
    <row r="70" customFormat="false" ht="15" hidden="false" customHeight="false" outlineLevel="0" collapsed="false">
      <c r="A70" s="6" t="n">
        <v>9001</v>
      </c>
      <c r="B70" s="6" t="s">
        <v>31</v>
      </c>
      <c r="C70" s="6" t="s">
        <v>21</v>
      </c>
      <c r="D70" s="6" t="s">
        <v>130</v>
      </c>
      <c r="E70" s="7" t="n">
        <v>40</v>
      </c>
      <c r="F70" s="7"/>
      <c r="G70" s="7"/>
      <c r="H70" s="8" t="n">
        <f aca="false">IF(AND(F70="",G70=""),0,SUM(F70:G70))</f>
        <v>0</v>
      </c>
      <c r="I70" s="7"/>
      <c r="J70" s="7"/>
      <c r="K70" s="7"/>
      <c r="L70" s="7"/>
      <c r="M70" s="7" t="str">
        <f aca="false">IF(OR(K70="",L70=""),"",L70-K70)</f>
        <v/>
      </c>
      <c r="N70" s="7"/>
      <c r="O70" s="7"/>
      <c r="P70" s="10"/>
      <c r="Q70" s="12" t="s">
        <v>79</v>
      </c>
    </row>
    <row r="71" customFormat="false" ht="15" hidden="false" customHeight="false" outlineLevel="0" collapsed="false">
      <c r="A71" s="6" t="n">
        <v>9003</v>
      </c>
      <c r="B71" s="6" t="s">
        <v>31</v>
      </c>
      <c r="C71" s="6" t="s">
        <v>21</v>
      </c>
      <c r="D71" s="6" t="s">
        <v>131</v>
      </c>
      <c r="E71" s="7" t="n">
        <v>40</v>
      </c>
      <c r="F71" s="7"/>
      <c r="G71" s="7"/>
      <c r="H71" s="8" t="n">
        <f aca="false">IF(AND(F71="",G71=""),0,SUM(F71:G71))</f>
        <v>0</v>
      </c>
      <c r="I71" s="7"/>
      <c r="J71" s="7"/>
      <c r="K71" s="7"/>
      <c r="L71" s="7"/>
      <c r="M71" s="7" t="str">
        <f aca="false">IF(OR(K71="",L71=""),"",L71-K71)</f>
        <v/>
      </c>
      <c r="N71" s="7"/>
      <c r="O71" s="7"/>
      <c r="P71" s="10"/>
      <c r="Q71" s="12" t="s">
        <v>79</v>
      </c>
    </row>
    <row r="72" customFormat="false" ht="15" hidden="false" customHeight="false" outlineLevel="0" collapsed="false">
      <c r="A72" s="6" t="n">
        <v>9004</v>
      </c>
      <c r="B72" s="6" t="s">
        <v>31</v>
      </c>
      <c r="C72" s="6" t="s">
        <v>21</v>
      </c>
      <c r="D72" s="6" t="s">
        <v>131</v>
      </c>
      <c r="E72" s="7" t="n">
        <v>40</v>
      </c>
      <c r="F72" s="7"/>
      <c r="G72" s="7"/>
      <c r="H72" s="8" t="n">
        <f aca="false">IF(AND(F72="",G72=""),0,SUM(F72:G72))</f>
        <v>0</v>
      </c>
      <c r="I72" s="7"/>
      <c r="J72" s="7"/>
      <c r="K72" s="7"/>
      <c r="L72" s="7"/>
      <c r="M72" s="7" t="str">
        <f aca="false">IF(OR(K72="",L72=""),"",L72-K72)</f>
        <v/>
      </c>
      <c r="N72" s="7"/>
      <c r="O72" s="7"/>
      <c r="P72" s="10"/>
      <c r="Q72" s="12" t="s">
        <v>79</v>
      </c>
    </row>
    <row r="73" customFormat="false" ht="15" hidden="false" customHeight="false" outlineLevel="0" collapsed="false">
      <c r="A73" s="6" t="n">
        <v>9005</v>
      </c>
      <c r="B73" s="6" t="s">
        <v>132</v>
      </c>
      <c r="C73" s="6" t="s">
        <v>21</v>
      </c>
      <c r="D73" s="6" t="s">
        <v>133</v>
      </c>
      <c r="E73" s="7" t="n">
        <v>40</v>
      </c>
      <c r="F73" s="7"/>
      <c r="G73" s="7"/>
      <c r="H73" s="8" t="n">
        <f aca="false">IF(AND(F73="",G73=""),0,SUM(F73:G73))</f>
        <v>0</v>
      </c>
      <c r="I73" s="7"/>
      <c r="J73" s="7"/>
      <c r="K73" s="7"/>
      <c r="L73" s="7"/>
      <c r="M73" s="7" t="str">
        <f aca="false">IF(OR(K73="",L73=""),"",L73-K73)</f>
        <v/>
      </c>
      <c r="N73" s="7"/>
      <c r="O73" s="7"/>
      <c r="P73" s="10"/>
      <c r="Q73" s="12" t="s">
        <v>79</v>
      </c>
    </row>
    <row r="74" customFormat="false" ht="15" hidden="false" customHeight="false" outlineLevel="0" collapsed="false">
      <c r="A74" s="6" t="n">
        <v>9007</v>
      </c>
      <c r="B74" s="6" t="s">
        <v>31</v>
      </c>
      <c r="C74" s="6" t="s">
        <v>21</v>
      </c>
      <c r="D74" s="6" t="s">
        <v>130</v>
      </c>
      <c r="E74" s="7" t="n">
        <v>40</v>
      </c>
      <c r="F74" s="7"/>
      <c r="G74" s="7"/>
      <c r="H74" s="8" t="n">
        <f aca="false">IF(AND(F74="",G74=""),0,SUM(F74:G74))</f>
        <v>0</v>
      </c>
      <c r="I74" s="7"/>
      <c r="J74" s="7"/>
      <c r="K74" s="7"/>
      <c r="L74" s="7"/>
      <c r="M74" s="7" t="str">
        <f aca="false">IF(OR(K74="",L74=""),"",L74-K74)</f>
        <v/>
      </c>
      <c r="N74" s="7"/>
      <c r="O74" s="7"/>
      <c r="P74" s="10"/>
      <c r="Q74" s="12" t="s">
        <v>79</v>
      </c>
    </row>
    <row r="75" customFormat="false" ht="15" hidden="false" customHeight="false" outlineLevel="0" collapsed="false">
      <c r="A75" s="6" t="n">
        <v>9010</v>
      </c>
      <c r="B75" s="6" t="s">
        <v>31</v>
      </c>
      <c r="C75" s="6" t="s">
        <v>21</v>
      </c>
      <c r="D75" s="6" t="s">
        <v>134</v>
      </c>
      <c r="E75" s="7" t="n">
        <v>40</v>
      </c>
      <c r="F75" s="7"/>
      <c r="G75" s="7"/>
      <c r="H75" s="8" t="n">
        <f aca="false">IF(AND(F75="",G75=""),0,SUM(F75:G75))</f>
        <v>0</v>
      </c>
      <c r="I75" s="7"/>
      <c r="J75" s="7"/>
      <c r="K75" s="7"/>
      <c r="L75" s="7"/>
      <c r="M75" s="7" t="str">
        <f aca="false">IF(OR(K75="",L75=""),"",L75-K75)</f>
        <v/>
      </c>
      <c r="N75" s="7"/>
      <c r="O75" s="7"/>
      <c r="P75" s="10"/>
      <c r="Q75" s="12" t="s">
        <v>79</v>
      </c>
    </row>
    <row r="76" customFormat="false" ht="15" hidden="false" customHeight="false" outlineLevel="0" collapsed="false">
      <c r="A76" s="6" t="n">
        <v>9017</v>
      </c>
      <c r="B76" s="6" t="s">
        <v>135</v>
      </c>
      <c r="C76" s="6" t="s">
        <v>21</v>
      </c>
      <c r="D76" s="6" t="s">
        <v>136</v>
      </c>
      <c r="E76" s="7" t="n">
        <v>40</v>
      </c>
      <c r="F76" s="7"/>
      <c r="G76" s="7" t="n">
        <v>25</v>
      </c>
      <c r="H76" s="8" t="n">
        <f aca="false">IF(AND(F76="",G76=""),0,SUM(F76:G76))</f>
        <v>25</v>
      </c>
      <c r="I76" s="7"/>
      <c r="J76" s="7"/>
      <c r="K76" s="7"/>
      <c r="L76" s="7" t="n">
        <v>7</v>
      </c>
      <c r="M76" s="7" t="str">
        <f aca="false">IF(OR(K76="",L76=""),"",L76-K76)</f>
        <v/>
      </c>
      <c r="N76" s="7" t="n">
        <v>7</v>
      </c>
      <c r="O76" s="7" t="n">
        <v>56</v>
      </c>
      <c r="P76" s="10"/>
      <c r="Q76" s="12" t="s">
        <v>79</v>
      </c>
    </row>
    <row r="77" customFormat="false" ht="15" hidden="false" customHeight="false" outlineLevel="0" collapsed="false">
      <c r="A77" s="6" t="n">
        <v>9019</v>
      </c>
      <c r="B77" s="6" t="s">
        <v>31</v>
      </c>
      <c r="C77" s="6" t="s">
        <v>21</v>
      </c>
      <c r="D77" s="6" t="s">
        <v>137</v>
      </c>
      <c r="E77" s="7" t="n">
        <v>40</v>
      </c>
      <c r="F77" s="7"/>
      <c r="G77" s="7"/>
      <c r="H77" s="8" t="n">
        <f aca="false">IF(AND(F77="",G77=""),0,SUM(F77:G77))</f>
        <v>0</v>
      </c>
      <c r="I77" s="7"/>
      <c r="J77" s="7"/>
      <c r="K77" s="7"/>
      <c r="L77" s="7"/>
      <c r="M77" s="7" t="str">
        <f aca="false">IF(OR(K77="",L77=""),"",L77-K77)</f>
        <v/>
      </c>
      <c r="N77" s="7"/>
      <c r="O77" s="7"/>
      <c r="P77" s="10"/>
      <c r="Q77" s="12" t="s">
        <v>79</v>
      </c>
    </row>
    <row r="78" customFormat="false" ht="15" hidden="false" customHeight="false" outlineLevel="0" collapsed="false">
      <c r="A78" s="6" t="n">
        <v>9029</v>
      </c>
      <c r="B78" s="6" t="s">
        <v>31</v>
      </c>
      <c r="C78" s="6" t="s">
        <v>21</v>
      </c>
      <c r="D78" s="6" t="s">
        <v>138</v>
      </c>
      <c r="E78" s="7" t="n">
        <v>40</v>
      </c>
      <c r="F78" s="7"/>
      <c r="G78" s="7"/>
      <c r="H78" s="8" t="n">
        <f aca="false">IF(AND(F78="",G78=""),0,SUM(F78:G78))</f>
        <v>0</v>
      </c>
      <c r="I78" s="7"/>
      <c r="J78" s="7"/>
      <c r="K78" s="7"/>
      <c r="L78" s="7"/>
      <c r="M78" s="7" t="str">
        <f aca="false">IF(OR(K78="",L78=""),"",L78-K78)</f>
        <v/>
      </c>
      <c r="N78" s="7"/>
      <c r="O78" s="7"/>
      <c r="P78" s="10"/>
      <c r="Q78" s="12" t="s">
        <v>79</v>
      </c>
    </row>
    <row r="79" customFormat="false" ht="15" hidden="false" customHeight="false" outlineLevel="0" collapsed="false">
      <c r="A79" s="6" t="n">
        <v>9030</v>
      </c>
      <c r="B79" s="6" t="s">
        <v>139</v>
      </c>
      <c r="C79" s="6" t="s">
        <v>21</v>
      </c>
      <c r="D79" s="6" t="s">
        <v>140</v>
      </c>
      <c r="E79" s="7" t="n">
        <v>40</v>
      </c>
      <c r="F79" s="7"/>
      <c r="G79" s="7" t="n">
        <v>26</v>
      </c>
      <c r="H79" s="8" t="n">
        <f aca="false">IF(AND(F79="",G79=""),0,SUM(F79:G79))</f>
        <v>26</v>
      </c>
      <c r="I79" s="7"/>
      <c r="J79" s="7"/>
      <c r="K79" s="7"/>
      <c r="L79" s="7" t="n">
        <v>3</v>
      </c>
      <c r="M79" s="7" t="str">
        <f aca="false">IF(OR(K79="",L79=""),"",L79-K79)</f>
        <v/>
      </c>
      <c r="N79" s="7" t="n">
        <v>7</v>
      </c>
      <c r="O79" s="7" t="n">
        <v>56</v>
      </c>
      <c r="P79" s="10"/>
      <c r="Q79" s="12" t="s">
        <v>79</v>
      </c>
    </row>
    <row r="80" customFormat="false" ht="15" hidden="false" customHeight="false" outlineLevel="0" collapsed="false">
      <c r="A80" s="6" t="n">
        <v>9033</v>
      </c>
      <c r="B80" s="6" t="s">
        <v>31</v>
      </c>
      <c r="C80" s="6" t="s">
        <v>21</v>
      </c>
      <c r="D80" s="6" t="s">
        <v>138</v>
      </c>
      <c r="E80" s="7" t="n">
        <v>40</v>
      </c>
      <c r="F80" s="7"/>
      <c r="G80" s="7"/>
      <c r="H80" s="8" t="n">
        <f aca="false">IF(AND(F80="",G80=""),0,SUM(F80:G80))</f>
        <v>0</v>
      </c>
      <c r="I80" s="7"/>
      <c r="J80" s="7"/>
      <c r="K80" s="7"/>
      <c r="L80" s="7"/>
      <c r="M80" s="7" t="str">
        <f aca="false">IF(OR(K80="",L80=""),"",L80-K80)</f>
        <v/>
      </c>
      <c r="N80" s="7"/>
      <c r="O80" s="7"/>
      <c r="P80" s="10"/>
      <c r="Q80" s="12" t="s">
        <v>79</v>
      </c>
    </row>
    <row r="81" customFormat="false" ht="15" hidden="false" customHeight="false" outlineLevel="0" collapsed="false">
      <c r="A81" s="6" t="n">
        <v>9035</v>
      </c>
      <c r="B81" s="6" t="s">
        <v>31</v>
      </c>
      <c r="C81" s="6" t="s">
        <v>21</v>
      </c>
      <c r="D81" s="6" t="s">
        <v>141</v>
      </c>
      <c r="E81" s="7" t="n">
        <v>40</v>
      </c>
      <c r="F81" s="7"/>
      <c r="G81" s="7"/>
      <c r="H81" s="8" t="n">
        <f aca="false">IF(AND(F81="",G81=""),0,SUM(F81:G81))</f>
        <v>0</v>
      </c>
      <c r="I81" s="7"/>
      <c r="J81" s="7"/>
      <c r="K81" s="7"/>
      <c r="L81" s="7"/>
      <c r="M81" s="7" t="str">
        <f aca="false">IF(OR(K81="",L81=""),"",L81-K81)</f>
        <v/>
      </c>
      <c r="N81" s="7"/>
      <c r="O81" s="7"/>
      <c r="P81" s="10"/>
      <c r="Q81" s="12" t="s">
        <v>79</v>
      </c>
    </row>
    <row r="82" customFormat="false" ht="15" hidden="false" customHeight="false" outlineLevel="0" collapsed="false">
      <c r="A82" s="6" t="n">
        <v>9037</v>
      </c>
      <c r="B82" s="6" t="s">
        <v>31</v>
      </c>
      <c r="C82" s="6" t="s">
        <v>21</v>
      </c>
      <c r="D82" s="6" t="s">
        <v>112</v>
      </c>
      <c r="E82" s="7" t="n">
        <v>40</v>
      </c>
      <c r="F82" s="7"/>
      <c r="G82" s="7"/>
      <c r="H82" s="8" t="n">
        <f aca="false">IF(AND(F82="",G82=""),0,SUM(F82:G82))</f>
        <v>0</v>
      </c>
      <c r="I82" s="7"/>
      <c r="J82" s="7"/>
      <c r="K82" s="7"/>
      <c r="L82" s="7"/>
      <c r="M82" s="7" t="str">
        <f aca="false">IF(OR(K82="",L82=""),"",L82-K82)</f>
        <v/>
      </c>
      <c r="N82" s="7"/>
      <c r="O82" s="7"/>
      <c r="P82" s="10"/>
      <c r="Q82" s="12" t="s">
        <v>79</v>
      </c>
    </row>
    <row r="83" customFormat="false" ht="15" hidden="false" customHeight="false" outlineLevel="0" collapsed="false">
      <c r="A83" s="6" t="n">
        <v>9039</v>
      </c>
      <c r="B83" s="6" t="s">
        <v>31</v>
      </c>
      <c r="C83" s="6" t="s">
        <v>21</v>
      </c>
      <c r="D83" s="6" t="s">
        <v>142</v>
      </c>
      <c r="E83" s="7" t="n">
        <v>40</v>
      </c>
      <c r="F83" s="7"/>
      <c r="G83" s="7"/>
      <c r="H83" s="8" t="n">
        <f aca="false">IF(AND(F83="",G83=""),0,SUM(F83:G83))</f>
        <v>0</v>
      </c>
      <c r="I83" s="7"/>
      <c r="J83" s="7"/>
      <c r="K83" s="7"/>
      <c r="L83" s="7"/>
      <c r="M83" s="7" t="str">
        <f aca="false">IF(OR(K83="",L83=""),"",L83-K83)</f>
        <v/>
      </c>
      <c r="N83" s="7"/>
      <c r="O83" s="7"/>
      <c r="P83" s="10"/>
      <c r="Q83" s="12" t="s">
        <v>79</v>
      </c>
    </row>
    <row r="84" customFormat="false" ht="15" hidden="false" customHeight="false" outlineLevel="0" collapsed="false">
      <c r="A84" s="6" t="n">
        <v>9103</v>
      </c>
      <c r="B84" s="6" t="s">
        <v>143</v>
      </c>
      <c r="C84" s="6" t="s">
        <v>21</v>
      </c>
      <c r="D84" s="6" t="s">
        <v>144</v>
      </c>
      <c r="E84" s="7" t="n">
        <v>40</v>
      </c>
      <c r="F84" s="7"/>
      <c r="G84" s="7" t="n">
        <v>25</v>
      </c>
      <c r="H84" s="8" t="n">
        <f aca="false">IF(AND(F84="",G84=""),0,SUM(F84:G84))</f>
        <v>25</v>
      </c>
      <c r="I84" s="7"/>
      <c r="J84" s="7"/>
      <c r="K84" s="7"/>
      <c r="L84" s="7"/>
      <c r="M84" s="7" t="str">
        <f aca="false">IF(OR(K84="",L84=""),"",L84-K84)</f>
        <v/>
      </c>
      <c r="N84" s="7"/>
      <c r="O84" s="7"/>
      <c r="P84" s="10"/>
      <c r="Q84" s="12" t="s">
        <v>79</v>
      </c>
    </row>
    <row r="85" customFormat="false" ht="15" hidden="false" customHeight="false" outlineLevel="0" collapsed="false">
      <c r="A85" s="6" t="n">
        <v>9104</v>
      </c>
      <c r="B85" s="6" t="s">
        <v>31</v>
      </c>
      <c r="C85" s="6" t="s">
        <v>21</v>
      </c>
      <c r="D85" s="6" t="s">
        <v>145</v>
      </c>
      <c r="E85" s="7" t="n">
        <v>40</v>
      </c>
      <c r="F85" s="7"/>
      <c r="G85" s="7"/>
      <c r="H85" s="8" t="n">
        <f aca="false">IF(AND(F85="",G85=""),0,SUM(F85:G85))</f>
        <v>0</v>
      </c>
      <c r="I85" s="7"/>
      <c r="J85" s="7"/>
      <c r="K85" s="7"/>
      <c r="L85" s="7"/>
      <c r="M85" s="7" t="str">
        <f aca="false">IF(OR(K85="",L85=""),"",L85-K85)</f>
        <v/>
      </c>
      <c r="N85" s="7"/>
      <c r="O85" s="7"/>
      <c r="P85" s="10"/>
      <c r="Q85" s="12" t="s">
        <v>79</v>
      </c>
    </row>
    <row r="87" customFormat="false" ht="15" hidden="false" customHeight="false" outlineLevel="0" collapsed="false">
      <c r="B87" s="16" t="s">
        <v>146</v>
      </c>
      <c r="E87" s="16" t="n">
        <v>80</v>
      </c>
    </row>
    <row r="88" customFormat="false" ht="15" hidden="false" customHeight="false" outlineLevel="0" collapsed="false">
      <c r="B88" s="16" t="s">
        <v>147</v>
      </c>
      <c r="E88" s="16" t="n">
        <v>23</v>
      </c>
    </row>
    <row r="89" customFormat="false" ht="15" hidden="false" customHeight="false" outlineLevel="0" collapsed="false">
      <c r="B89" s="16" t="s">
        <v>148</v>
      </c>
      <c r="E89" s="16" t="n">
        <v>16</v>
      </c>
    </row>
  </sheetData>
  <autoFilter ref="A5:Q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149</v>
      </c>
    </row>
    <row r="3" customFormat="false" ht="15" hidden="false" customHeight="false" outlineLevel="0" collapsed="false">
      <c r="A3" s="17"/>
      <c r="B3" s="18"/>
    </row>
    <row r="4" customFormat="false" ht="15" hidden="false" customHeight="false" outlineLevel="0" collapsed="false">
      <c r="A4" s="16" t="s">
        <v>150</v>
      </c>
      <c r="B4" s="18" t="s">
        <v>151</v>
      </c>
    </row>
    <row r="5" customFormat="false" ht="15" hidden="false" customHeight="false" outlineLevel="0" collapsed="false">
      <c r="A5" s="16" t="s">
        <v>152</v>
      </c>
      <c r="B5" s="18" t="s">
        <v>153</v>
      </c>
    </row>
    <row r="6" customFormat="false" ht="15" hidden="false" customHeight="false" outlineLevel="0" collapsed="false">
      <c r="A6" s="16" t="s">
        <v>154</v>
      </c>
      <c r="B6" s="18" t="s">
        <v>155</v>
      </c>
    </row>
    <row r="7" customFormat="false" ht="15" hidden="false" customHeight="false" outlineLevel="0" collapsed="false">
      <c r="A7" s="16" t="s">
        <v>154</v>
      </c>
      <c r="B7" s="18" t="s">
        <v>156</v>
      </c>
    </row>
    <row r="8" customFormat="false" ht="15" hidden="false" customHeight="false" outlineLevel="0" collapsed="false">
      <c r="A8" s="17"/>
      <c r="B8" s="18"/>
    </row>
    <row r="9" customFormat="false" ht="23.85" hidden="false" customHeight="false" outlineLevel="0" collapsed="false">
      <c r="A9" s="16" t="s">
        <v>157</v>
      </c>
      <c r="B9" s="18" t="s">
        <v>158</v>
      </c>
    </row>
    <row r="10" customFormat="false" ht="23.85" hidden="false" customHeight="false" outlineLevel="0" collapsed="false">
      <c r="A10" s="16" t="s">
        <v>159</v>
      </c>
      <c r="B10" s="18" t="s">
        <v>160</v>
      </c>
    </row>
    <row r="11" customFormat="false" ht="15" hidden="false" customHeight="false" outlineLevel="0" collapsed="false">
      <c r="A11" s="17"/>
      <c r="B11" s="18"/>
    </row>
    <row r="12" customFormat="false" ht="23.85" hidden="false" customHeight="false" outlineLevel="0" collapsed="false">
      <c r="A12" s="16" t="s">
        <v>161</v>
      </c>
      <c r="B12" s="18" t="s">
        <v>162</v>
      </c>
    </row>
    <row r="13" customFormat="false" ht="23.85" hidden="false" customHeight="false" outlineLevel="0" collapsed="false">
      <c r="A13" s="16" t="s">
        <v>163</v>
      </c>
      <c r="B13" s="1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17"/>
      <c r="B3" s="18"/>
    </row>
    <row r="4" customFormat="false" ht="15" hidden="false" customHeight="false" outlineLevel="0" collapsed="false">
      <c r="A4" s="17" t="s">
        <v>166</v>
      </c>
      <c r="B4" s="18" t="s">
        <v>167</v>
      </c>
    </row>
    <row r="5" customFormat="false" ht="15" hidden="false" customHeight="false" outlineLevel="0" collapsed="false">
      <c r="A5" s="17" t="s">
        <v>168</v>
      </c>
      <c r="B5" s="18" t="s">
        <v>169</v>
      </c>
    </row>
    <row r="6" customFormat="false" ht="15" hidden="false" customHeight="false" outlineLevel="0" collapsed="false">
      <c r="A6" s="17" t="s">
        <v>170</v>
      </c>
      <c r="B6" s="18" t="s">
        <v>171</v>
      </c>
    </row>
    <row r="7" customFormat="false" ht="15" hidden="false" customHeight="false" outlineLevel="0" collapsed="false">
      <c r="A7" s="17" t="s">
        <v>172</v>
      </c>
      <c r="B7" s="18" t="s">
        <v>173</v>
      </c>
    </row>
    <row r="8" customFormat="false" ht="15" hidden="false" customHeight="false" outlineLevel="0" collapsed="false">
      <c r="A8" s="17" t="s">
        <v>174</v>
      </c>
      <c r="B8" s="18" t="s">
        <v>175</v>
      </c>
    </row>
    <row r="9" customFormat="false" ht="15" hidden="false" customHeight="false" outlineLevel="0" collapsed="false">
      <c r="A9" s="17"/>
      <c r="B9" s="18"/>
    </row>
    <row r="10" customFormat="false" ht="15" hidden="false" customHeight="false" outlineLevel="0" collapsed="false">
      <c r="A10" s="16" t="s">
        <v>176</v>
      </c>
      <c r="B10" s="18"/>
    </row>
    <row r="11" customFormat="false" ht="23.85" hidden="false" customHeight="false" outlineLevel="0" collapsed="false">
      <c r="A11" s="17" t="s">
        <v>177</v>
      </c>
      <c r="B11" s="18" t="s">
        <v>178</v>
      </c>
    </row>
    <row r="12" customFormat="false" ht="15" hidden="false" customHeight="false" outlineLevel="0" collapsed="false">
      <c r="A12" s="17" t="s">
        <v>179</v>
      </c>
      <c r="B12" s="18" t="s">
        <v>180</v>
      </c>
    </row>
    <row r="14" customFormat="false" ht="15" hidden="false" customHeight="false" outlineLevel="0" collapsed="false">
      <c r="A14" s="19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2026-07-30T12:38:40Z</dcterms:created>
  <dc:creator>openpyxl</dc:creator>
  <dc:description/>
  <dc:language>en-US</dc:language>
  <cp:lastModifiedBy/>
  <dcterms:modified xsi:type="dcterms:W3CDTF">2026-07-30T12:38:40Z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