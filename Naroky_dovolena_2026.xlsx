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ároky 2026" sheetId="1" state="visible" r:id="rId3"/>
    <sheet name="Legenda" sheetId="2" state="visible" r:id="rId4"/>
  </sheets>
  <definedNames>
    <definedName function="false" hidden="true" localSheetId="0" name="_xlnm._FilterDatabase" vbProcedure="false">'Nároky 2026'!$A$5:$N$85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<sst xmlns="http://schemas.openxmlformats.org/spreadsheetml/2006/main" count="301" uniqueCount="179">
  <si>
    <t xml:space="preserve">Nároky na dovolenou 2026 — ke kontrole</t>
  </si>
  <si>
    <t xml:space="preserve">Nárok je SPOČÍTANÝ ze systému: standard + navíc. HPP = 20 dnů ze zákona + firemní bonus. OSVČ nemá zákonný nárok, takže má celý nárok ve sloupci „navíc“ (individuálně, za zásluhy).</t>
  </si>
  <si>
    <t xml:space="preserve">Vyplň prosím ŽLUTÝ sloupec J POUZE u řádků, kde nesedí spočítaný nárok — tj. u růžově označených výjimek dole v poznámce. U ostatních nech prázdné, ty jsou v pořádku.</t>
  </si>
  <si>
    <t xml:space="preserve">Číslo</t>
  </si>
  <si>
    <t xml:space="preserve">Jméno</t>
  </si>
  <si>
    <t xml:space="preserve">Typ</t>
  </si>
  <si>
    <t xml:space="preserve">Nástup</t>
  </si>
  <si>
    <t xml:space="preserve">Úvazek h/týden</t>
  </si>
  <si>
    <t xml:space="preserve">Standard (zákon)</t>
  </si>
  <si>
    <t xml:space="preserve">Navíc (firma)</t>
  </si>
  <si>
    <t xml:space="preserve">NÁROK spočítaný (dny)</t>
  </si>
  <si>
    <t xml:space="preserve">Denní úvazek (h)</t>
  </si>
  <si>
    <t xml:space="preserve">OPRAVA nároku (dny)</t>
  </si>
  <si>
    <t xml:space="preserve">Nárok (h)</t>
  </si>
  <si>
    <t xml:space="preserve">Čerpáno 2026 (h)</t>
  </si>
  <si>
    <t xml:space="preserve">Zbývá (h)</t>
  </si>
  <si>
    <t xml:space="preserve">Poznámka</t>
  </si>
  <si>
    <t xml:space="preserve">Petra Šafránková ml</t>
  </si>
  <si>
    <t xml:space="preserve">osvc</t>
  </si>
  <si>
    <t xml:space="preserve">01.05.2008</t>
  </si>
  <si>
    <t xml:space="preserve">Marti Pašek</t>
  </si>
  <si>
    <t xml:space="preserve">hpp</t>
  </si>
  <si>
    <t xml:space="preserve">29.08.2006</t>
  </si>
  <si>
    <t xml:space="preserve">⚠ HPP bez nároku — potvrdit · a přitom už čerpal</t>
  </si>
  <si>
    <t xml:space="preserve">Petr Beneš</t>
  </si>
  <si>
    <t xml:space="preserve">01.02.2025</t>
  </si>
  <si>
    <t xml:space="preserve">Radek Hellmayer</t>
  </si>
  <si>
    <t xml:space="preserve">01.02.2019</t>
  </si>
  <si>
    <t xml:space="preserve">(bez jména v evidenci)</t>
  </si>
  <si>
    <t xml:space="preserve">01.12.2023</t>
  </si>
  <si>
    <t xml:space="preserve">Jiří Veverka</t>
  </si>
  <si>
    <t xml:space="preserve">Šárka Novotná</t>
  </si>
  <si>
    <t xml:space="preserve">01.02.2023</t>
  </si>
  <si>
    <t xml:space="preserve">Kristýna Marešová</t>
  </si>
  <si>
    <t xml:space="preserve">01.01.2021</t>
  </si>
  <si>
    <t xml:space="preserve">Eliška Kolářová</t>
  </si>
  <si>
    <t xml:space="preserve">01.06.2021</t>
  </si>
  <si>
    <t xml:space="preserve">01.09.2022</t>
  </si>
  <si>
    <t xml:space="preserve">Martin Pašek</t>
  </si>
  <si>
    <t xml:space="preserve">01.03.2023</t>
  </si>
  <si>
    <t xml:space="preserve">Pavel Zeman</t>
  </si>
  <si>
    <t xml:space="preserve">01.03.2021</t>
  </si>
  <si>
    <t xml:space="preserve">01.03.2022</t>
  </si>
  <si>
    <t xml:space="preserve">⚠ HPP bez nároku — potvrdit</t>
  </si>
  <si>
    <t xml:space="preserve">Tereza Veverková</t>
  </si>
  <si>
    <t xml:space="preserve">01.01.2023</t>
  </si>
  <si>
    <t xml:space="preserve">Saad Jarrar</t>
  </si>
  <si>
    <t xml:space="preserve">01.06.2023</t>
  </si>
  <si>
    <t xml:space="preserve">Lukáš Horký</t>
  </si>
  <si>
    <t xml:space="preserve">11.09.2023</t>
  </si>
  <si>
    <t xml:space="preserve">Mózer Branislav</t>
  </si>
  <si>
    <t xml:space="preserve">01.07.2024</t>
  </si>
  <si>
    <t xml:space="preserve">Zdeněk Čepický</t>
  </si>
  <si>
    <t xml:space="preserve">01.04.2025</t>
  </si>
  <si>
    <t xml:space="preserve">Petra Dvořáková</t>
  </si>
  <si>
    <t xml:space="preserve">Zuzana Duspivová</t>
  </si>
  <si>
    <t xml:space="preserve">15.07.2025</t>
  </si>
  <si>
    <t xml:space="preserve">Dušan Havlát</t>
  </si>
  <si>
    <t xml:space="preserve">Matěj Svoboda</t>
  </si>
  <si>
    <t xml:space="preserve">01.02.2024</t>
  </si>
  <si>
    <t xml:space="preserve">Zdeněk Diviš</t>
  </si>
  <si>
    <t xml:space="preserve">01.02.2022</t>
  </si>
  <si>
    <t xml:space="preserve">Erika Sedláčková</t>
  </si>
  <si>
    <t xml:space="preserve">Pavel Voříšek</t>
  </si>
  <si>
    <t xml:space="preserve">Pavel Kilberger</t>
  </si>
  <si>
    <t xml:space="preserve">Michal Šik</t>
  </si>
  <si>
    <t xml:space="preserve">01.04.2015</t>
  </si>
  <si>
    <t xml:space="preserve">Ivana Brudnová</t>
  </si>
  <si>
    <t xml:space="preserve">Vlková Klára</t>
  </si>
  <si>
    <t xml:space="preserve">⚠ HPP bez firemního bonusu — potvrdit</t>
  </si>
  <si>
    <t xml:space="preserve">Marek Honal</t>
  </si>
  <si>
    <t xml:space="preserve">Luboš Lev</t>
  </si>
  <si>
    <t xml:space="preserve">01.10.2019</t>
  </si>
  <si>
    <t xml:space="preserve">Luboš Erhard</t>
  </si>
  <si>
    <t xml:space="preserve">06.04.2021</t>
  </si>
  <si>
    <t xml:space="preserve">Senft Ondřej</t>
  </si>
  <si>
    <t xml:space="preserve">dpp</t>
  </si>
  <si>
    <t xml:space="preserve">01.12.2015</t>
  </si>
  <si>
    <t xml:space="preserve">Michelle Šafránková</t>
  </si>
  <si>
    <t xml:space="preserve">Ivana Honomichlová</t>
  </si>
  <si>
    <t xml:space="preserve">Martin Nosek</t>
  </si>
  <si>
    <t xml:space="preserve">Jana Lišková</t>
  </si>
  <si>
    <t xml:space="preserve">Jan Svatoš</t>
  </si>
  <si>
    <t xml:space="preserve">01.04.2018</t>
  </si>
  <si>
    <t xml:space="preserve">Michaela Hladíková</t>
  </si>
  <si>
    <t xml:space="preserve">Iva Hrůzová</t>
  </si>
  <si>
    <t xml:space="preserve">Martin Króner</t>
  </si>
  <si>
    <t xml:space="preserve">01.04.2020</t>
  </si>
  <si>
    <t xml:space="preserve">Vasyl Namjak</t>
  </si>
  <si>
    <t xml:space="preserve">Luboš Trunec</t>
  </si>
  <si>
    <t xml:space="preserve">01.08.2022</t>
  </si>
  <si>
    <t xml:space="preserve">Vladimír Navrátil</t>
  </si>
  <si>
    <t xml:space="preserve">Václav Reitmaier</t>
  </si>
  <si>
    <t xml:space="preserve">01.11.2021</t>
  </si>
  <si>
    <t xml:space="preserve">Andrea Bernardová</t>
  </si>
  <si>
    <t xml:space="preserve">18.10.2021</t>
  </si>
  <si>
    <t xml:space="preserve">Tomáš Bláha</t>
  </si>
  <si>
    <t xml:space="preserve">01.01.2022</t>
  </si>
  <si>
    <t xml:space="preserve">Jiří Hájek</t>
  </si>
  <si>
    <t xml:space="preserve">01.05.2022</t>
  </si>
  <si>
    <t xml:space="preserve">Michal Jirkovský</t>
  </si>
  <si>
    <t xml:space="preserve">16.05.2022</t>
  </si>
  <si>
    <t xml:space="preserve">Jaroslav Švenda</t>
  </si>
  <si>
    <t xml:space="preserve">01.06.2022</t>
  </si>
  <si>
    <t xml:space="preserve">Ilona Nepodalová</t>
  </si>
  <si>
    <t xml:space="preserve">Lucie Jakešová</t>
  </si>
  <si>
    <t xml:space="preserve">Pavel Egermaier</t>
  </si>
  <si>
    <t xml:space="preserve">Simona Urbanová</t>
  </si>
  <si>
    <t xml:space="preserve">01.09.2023</t>
  </si>
  <si>
    <t xml:space="preserve">Josef Artim</t>
  </si>
  <si>
    <t xml:space="preserve">01.09.2024</t>
  </si>
  <si>
    <t xml:space="preserve">Vojtěch Purkar</t>
  </si>
  <si>
    <t xml:space="preserve">01.07.2023</t>
  </si>
  <si>
    <t xml:space="preserve">Jakub Pěchouček</t>
  </si>
  <si>
    <t xml:space="preserve">Václav Vápeník</t>
  </si>
  <si>
    <t xml:space="preserve">10.10.2023</t>
  </si>
  <si>
    <t xml:space="preserve">Martin Valenta</t>
  </si>
  <si>
    <t xml:space="preserve">Petr Čiviš</t>
  </si>
  <si>
    <t xml:space="preserve">01.01.2024</t>
  </si>
  <si>
    <t xml:space="preserve">Světlana Herejtová</t>
  </si>
  <si>
    <t xml:space="preserve">01.05.2024</t>
  </si>
  <si>
    <t xml:space="preserve">Jakub Kasal</t>
  </si>
  <si>
    <t xml:space="preserve">01.09.2025</t>
  </si>
  <si>
    <t xml:space="preserve">Martin Porner</t>
  </si>
  <si>
    <t xml:space="preserve">01.07.2025</t>
  </si>
  <si>
    <t xml:space="preserve">Jan Peřina</t>
  </si>
  <si>
    <t xml:space="preserve">27.04.2026</t>
  </si>
  <si>
    <t xml:space="preserve">01.07.2013</t>
  </si>
  <si>
    <t xml:space="preserve">01.10.2011</t>
  </si>
  <si>
    <t xml:space="preserve">Miroslav Mareš</t>
  </si>
  <si>
    <t xml:space="preserve">01.04.2012</t>
  </si>
  <si>
    <t xml:space="preserve">01.09.2014</t>
  </si>
  <si>
    <t xml:space="preserve">Jan Svoboda</t>
  </si>
  <si>
    <t xml:space="preserve">01.10.2015</t>
  </si>
  <si>
    <t xml:space="preserve">18.05.2015</t>
  </si>
  <si>
    <t xml:space="preserve">20.11.2019</t>
  </si>
  <si>
    <t xml:space="preserve">Jiří Honomichl</t>
  </si>
  <si>
    <t xml:space="preserve">18.02.2016</t>
  </si>
  <si>
    <t xml:space="preserve">28.11.2023</t>
  </si>
  <si>
    <t xml:space="preserve">01.07.2026</t>
  </si>
  <si>
    <t xml:space="preserve">Ondřej Pillár</t>
  </si>
  <si>
    <t xml:space="preserve">01.11.2018</t>
  </si>
  <si>
    <t xml:space="preserve">01.07.2019</t>
  </si>
  <si>
    <t xml:space="preserve">Lidí celkem:</t>
  </si>
  <si>
    <t xml:space="preserve">Výjimek k potvrzení:</t>
  </si>
  <si>
    <t xml:space="preserve">Přečerpaná dovolená:</t>
  </si>
  <si>
    <t xml:space="preserve">Jak to funguje</t>
  </si>
  <si>
    <t xml:space="preserve">Pravidlo nároku</t>
  </si>
  <si>
    <t xml:space="preserve">HPP (zaměstnanec)</t>
  </si>
  <si>
    <t xml:space="preserve">20 + bonus</t>
  </si>
  <si>
    <t xml:space="preserve">20 dnů ze zákona (sloupec F) + firemní dny navíc (G). Typicky 25.</t>
  </si>
  <si>
    <t xml:space="preserve">OSVČ</t>
  </si>
  <si>
    <t xml:space="preserve">jen „navíc“</t>
  </si>
  <si>
    <t xml:space="preserve">Zákonný nárok neexistuje → celý nárok je smluvní, ve sloupci G. Individuální, za zásluhy.</t>
  </si>
  <si>
    <t xml:space="preserve">Bez nároku</t>
  </si>
  <si>
    <t xml:space="preserve">0</t>
  </si>
  <si>
    <t xml:space="preserve">Někteří OSVČ a DPP nemají nárok žádný. To je v pořádku.</t>
  </si>
  <si>
    <t xml:space="preserve">Sloupce</t>
  </si>
  <si>
    <t xml:space="preserve">H — NÁROK spočítaný (dny)</t>
  </si>
  <si>
    <t xml:space="preserve">automaticky</t>
  </si>
  <si>
    <t xml:space="preserve">Standard + navíc. Tohle je to číslo, které se použije.</t>
  </si>
  <si>
    <t xml:space="preserve">J — OPRAVA nároku (dny)</t>
  </si>
  <si>
    <t xml:space="preserve">VYPLNIT jen u výjimek</t>
  </si>
  <si>
    <t xml:space="preserve">Když spočítaný nárok nesedí, napiš sem správný. Jinak nech prázdné.</t>
  </si>
  <si>
    <t xml:space="preserve">I — Denní úvazek</t>
  </si>
  <si>
    <t xml:space="preserve">Týdenní úvazek / 5. Přepočet na hodiny se dělá tímhle, ne paušálně ×8.</t>
  </si>
  <si>
    <t xml:space="preserve">K — Nárok (h)</t>
  </si>
  <si>
    <t xml:space="preserve">Dny × denní úvazek. Bere opravu z J, když je vyplněná.</t>
  </si>
  <si>
    <t xml:space="preserve">M — Zbývá (h)</t>
  </si>
  <si>
    <t xml:space="preserve">Nárok − čerpáno. Červeně = přečerpáno.</t>
  </si>
  <si>
    <t xml:space="preserve">Barvy</t>
  </si>
  <si>
    <t xml:space="preserve">Růžová v levé části</t>
  </si>
  <si>
    <t xml:space="preserve">Výjimka k potvrzení — sloupec N říká proč.</t>
  </si>
  <si>
    <t xml:space="preserve">Červená u „Čerpáno / Zbývá“</t>
  </si>
  <si>
    <t xml:space="preserve">Člověk vyčerpal víc, než má podle spočítaného nároku. Stojí za kontrolu.</t>
  </si>
  <si>
    <t xml:space="preserve">Žlutá (sloupec J)</t>
  </si>
  <si>
    <t xml:space="preserve">Jediné pole, kam se píše.</t>
  </si>
  <si>
    <t xml:space="preserve">Zdroj: tenant.engagement + engagement_entitlement + att_entry (STRATEGIE, 30. 7. 2026). Pravidlo nároku podle Peti (HPP 20+bonus, OSVČ vše smluvní). Čerpání spočítané z reálné docházky.</t>
  </si>
  <si>
    <t xml:space="preserve">Připravil Claude-26 pro Peťu.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</si>
</sst>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9C0006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C7CE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7" min="4" style="0" width="12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3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43.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</row>
    <row r="6" customFormat="false" ht="15" hidden="false" customHeight="false" outlineLevel="0" collapsed="false">
      <c r="A6" s="4" t="n">
        <v>1</v>
      </c>
      <c r="B6" s="4" t="s">
        <v>17</v>
      </c>
      <c r="C6" s="4" t="s">
        <v>18</v>
      </c>
      <c r="D6" s="4" t="s">
        <v>19</v>
      </c>
      <c r="E6" s="5" t="n">
        <v>40</v>
      </c>
      <c r="F6" s="5"/>
      <c r="G6" s="5" t="n">
        <v>27</v>
      </c>
      <c r="H6" s="6" t="n">
        <f aca="false">IF(AND(F6="",G6=""),0,SUM(F6:G6))</f>
        <v>27</v>
      </c>
      <c r="I6" s="5" t="n">
        <f aca="false">IF(E6="","",E6/5)</f>
        <v>8</v>
      </c>
      <c r="J6" s="7"/>
      <c r="K6" s="5" t="n">
        <f aca="false">IF(I6="","",IF(J6="",H6,J6)*I6)</f>
        <v>216</v>
      </c>
      <c r="L6" s="5" t="n">
        <v>40</v>
      </c>
      <c r="M6" s="5" t="n">
        <f aca="false">IF(K6="","",K6-L6)</f>
        <v>176</v>
      </c>
      <c r="N6" s="4"/>
    </row>
    <row r="7" customFormat="false" ht="15" hidden="false" customHeight="false" outlineLevel="0" collapsed="false">
      <c r="A7" s="8" t="n">
        <v>2</v>
      </c>
      <c r="B7" s="8" t="s">
        <v>20</v>
      </c>
      <c r="C7" s="8" t="s">
        <v>21</v>
      </c>
      <c r="D7" s="8" t="s">
        <v>22</v>
      </c>
      <c r="E7" s="9" t="n">
        <v>40</v>
      </c>
      <c r="F7" s="9"/>
      <c r="G7" s="9"/>
      <c r="H7" s="10" t="n">
        <f aca="false">IF(AND(F7="",G7=""),0,SUM(F7:G7))</f>
        <v>0</v>
      </c>
      <c r="I7" s="5" t="n">
        <f aca="false">IF(E7="","",E7/5)</f>
        <v>8</v>
      </c>
      <c r="J7" s="7"/>
      <c r="K7" s="5" t="n">
        <f aca="false">IF(I7="","",IF(J7="",H7,J7)*I7)</f>
        <v>0</v>
      </c>
      <c r="L7" s="5" t="n">
        <v>8</v>
      </c>
      <c r="M7" s="5" t="n">
        <f aca="false">IF(K7="","",K7-L7)</f>
        <v>-8</v>
      </c>
      <c r="N7" s="11" t="s">
        <v>23</v>
      </c>
    </row>
    <row r="8" customFormat="false" ht="15" hidden="false" customHeight="false" outlineLevel="0" collapsed="false">
      <c r="A8" s="4" t="n">
        <v>6</v>
      </c>
      <c r="B8" s="4" t="s">
        <v>24</v>
      </c>
      <c r="C8" s="4" t="s">
        <v>21</v>
      </c>
      <c r="D8" s="4" t="s">
        <v>25</v>
      </c>
      <c r="E8" s="5" t="n">
        <v>40</v>
      </c>
      <c r="F8" s="5" t="n">
        <v>20</v>
      </c>
      <c r="G8" s="5" t="n">
        <v>5</v>
      </c>
      <c r="H8" s="6" t="n">
        <f aca="false">IF(AND(F8="",G8=""),0,SUM(F8:G8))</f>
        <v>25</v>
      </c>
      <c r="I8" s="5" t="n">
        <f aca="false">IF(E8="","",E8/5)</f>
        <v>8</v>
      </c>
      <c r="J8" s="7"/>
      <c r="K8" s="5" t="n">
        <f aca="false">IF(I8="","",IF(J8="",H8,J8)*I8)</f>
        <v>200</v>
      </c>
      <c r="L8" s="5" t="n">
        <v>68</v>
      </c>
      <c r="M8" s="5" t="n">
        <f aca="false">IF(K8="","",K8-L8)</f>
        <v>132</v>
      </c>
      <c r="N8" s="4"/>
    </row>
    <row r="9" customFormat="false" ht="15" hidden="false" customHeight="false" outlineLevel="0" collapsed="false">
      <c r="A9" s="4" t="n">
        <v>11</v>
      </c>
      <c r="B9" s="4" t="s">
        <v>26</v>
      </c>
      <c r="C9" s="4" t="s">
        <v>18</v>
      </c>
      <c r="D9" s="4" t="s">
        <v>27</v>
      </c>
      <c r="E9" s="5" t="n">
        <v>40</v>
      </c>
      <c r="F9" s="5"/>
      <c r="G9" s="5" t="n">
        <v>26</v>
      </c>
      <c r="H9" s="6" t="n">
        <f aca="false">IF(AND(F9="",G9=""),0,SUM(F9:G9))</f>
        <v>26</v>
      </c>
      <c r="I9" s="5" t="n">
        <f aca="false">IF(E9="","",E9/5)</f>
        <v>8</v>
      </c>
      <c r="J9" s="7"/>
      <c r="K9" s="5" t="n">
        <f aca="false">IF(I9="","",IF(J9="",H9,J9)*I9)</f>
        <v>208</v>
      </c>
      <c r="L9" s="5" t="n">
        <v>60</v>
      </c>
      <c r="M9" s="5" t="n">
        <f aca="false">IF(K9="","",K9-L9)</f>
        <v>148</v>
      </c>
      <c r="N9" s="4"/>
    </row>
    <row r="10" customFormat="false" ht="15" hidden="false" customHeight="false" outlineLevel="0" collapsed="false">
      <c r="A10" s="4" t="n">
        <v>13</v>
      </c>
      <c r="B10" s="4" t="s">
        <v>28</v>
      </c>
      <c r="C10" s="4" t="s">
        <v>18</v>
      </c>
      <c r="D10" s="4" t="s">
        <v>29</v>
      </c>
      <c r="E10" s="5" t="n">
        <v>40</v>
      </c>
      <c r="F10" s="5"/>
      <c r="G10" s="5"/>
      <c r="H10" s="6" t="n">
        <f aca="false">IF(AND(F10="",G10=""),0,SUM(F10:G10))</f>
        <v>0</v>
      </c>
      <c r="I10" s="5" t="n">
        <f aca="false">IF(E10="","",E10/5)</f>
        <v>8</v>
      </c>
      <c r="J10" s="7"/>
      <c r="K10" s="5" t="n">
        <f aca="false">IF(I10="","",IF(J10="",H10,J10)*I10)</f>
        <v>0</v>
      </c>
      <c r="L10" s="5" t="n">
        <v>0</v>
      </c>
      <c r="M10" s="5" t="n">
        <f aca="false">IF(K10="","",K10-L10)</f>
        <v>0</v>
      </c>
      <c r="N10" s="4"/>
    </row>
    <row r="11" customFormat="false" ht="15" hidden="false" customHeight="false" outlineLevel="0" collapsed="false">
      <c r="A11" s="4" t="n">
        <v>14</v>
      </c>
      <c r="B11" s="4" t="s">
        <v>30</v>
      </c>
      <c r="C11" s="4" t="s">
        <v>21</v>
      </c>
      <c r="D11" s="4" t="s">
        <v>27</v>
      </c>
      <c r="E11" s="5" t="n">
        <v>40</v>
      </c>
      <c r="F11" s="5" t="n">
        <v>20</v>
      </c>
      <c r="G11" s="5" t="n">
        <v>5</v>
      </c>
      <c r="H11" s="6" t="n">
        <f aca="false">IF(AND(F11="",G11=""),0,SUM(F11:G11))</f>
        <v>25</v>
      </c>
      <c r="I11" s="5" t="n">
        <f aca="false">IF(E11="","",E11/5)</f>
        <v>8</v>
      </c>
      <c r="J11" s="7"/>
      <c r="K11" s="5" t="n">
        <f aca="false">IF(I11="","",IF(J11="",H11,J11)*I11)</f>
        <v>200</v>
      </c>
      <c r="L11" s="12" t="n">
        <v>240</v>
      </c>
      <c r="M11" s="12" t="n">
        <f aca="false">IF(K11="","",K11-L11)</f>
        <v>-40</v>
      </c>
      <c r="N11" s="4"/>
    </row>
    <row r="12" customFormat="false" ht="15" hidden="false" customHeight="false" outlineLevel="0" collapsed="false">
      <c r="A12" s="4" t="n">
        <v>16</v>
      </c>
      <c r="B12" s="4" t="s">
        <v>31</v>
      </c>
      <c r="C12" s="4" t="s">
        <v>21</v>
      </c>
      <c r="D12" s="4" t="s">
        <v>32</v>
      </c>
      <c r="E12" s="5" t="n">
        <v>35</v>
      </c>
      <c r="F12" s="5" t="n">
        <v>20</v>
      </c>
      <c r="G12" s="5" t="n">
        <v>5</v>
      </c>
      <c r="H12" s="6" t="n">
        <f aca="false">IF(AND(F12="",G12=""),0,SUM(F12:G12))</f>
        <v>25</v>
      </c>
      <c r="I12" s="5" t="n">
        <f aca="false">IF(E12="","",E12/5)</f>
        <v>7</v>
      </c>
      <c r="J12" s="7"/>
      <c r="K12" s="5" t="n">
        <f aca="false">IF(I12="","",IF(J12="",H12,J12)*I12)</f>
        <v>175</v>
      </c>
      <c r="L12" s="12" t="n">
        <v>205</v>
      </c>
      <c r="M12" s="12" t="n">
        <f aca="false">IF(K12="","",K12-L12)</f>
        <v>-30</v>
      </c>
      <c r="N12" s="4"/>
    </row>
    <row r="13" customFormat="false" ht="15" hidden="false" customHeight="false" outlineLevel="0" collapsed="false">
      <c r="A13" s="4" t="n">
        <v>21</v>
      </c>
      <c r="B13" s="4" t="s">
        <v>33</v>
      </c>
      <c r="C13" s="4" t="s">
        <v>21</v>
      </c>
      <c r="D13" s="4" t="s">
        <v>34</v>
      </c>
      <c r="E13" s="5" t="n">
        <v>40</v>
      </c>
      <c r="F13" s="5" t="n">
        <v>20</v>
      </c>
      <c r="G13" s="5" t="n">
        <v>10</v>
      </c>
      <c r="H13" s="6" t="n">
        <f aca="false">IF(AND(F13="",G13=""),0,SUM(F13:G13))</f>
        <v>30</v>
      </c>
      <c r="I13" s="5" t="n">
        <f aca="false">IF(E13="","",E13/5)</f>
        <v>8</v>
      </c>
      <c r="J13" s="7"/>
      <c r="K13" s="5" t="n">
        <f aca="false">IF(I13="","",IF(J13="",H13,J13)*I13)</f>
        <v>240</v>
      </c>
      <c r="L13" s="5" t="n">
        <v>196</v>
      </c>
      <c r="M13" s="5" t="n">
        <f aca="false">IF(K13="","",K13-L13)</f>
        <v>44</v>
      </c>
      <c r="N13" s="4"/>
    </row>
    <row r="14" customFormat="false" ht="15" hidden="false" customHeight="false" outlineLevel="0" collapsed="false">
      <c r="A14" s="4" t="n">
        <v>24</v>
      </c>
      <c r="B14" s="4" t="s">
        <v>35</v>
      </c>
      <c r="C14" s="4" t="s">
        <v>21</v>
      </c>
      <c r="D14" s="4" t="s">
        <v>36</v>
      </c>
      <c r="E14" s="5" t="n">
        <v>40</v>
      </c>
      <c r="F14" s="5" t="n">
        <v>20</v>
      </c>
      <c r="G14" s="5" t="n">
        <v>5</v>
      </c>
      <c r="H14" s="6" t="n">
        <f aca="false">IF(AND(F14="",G14=""),0,SUM(F14:G14))</f>
        <v>25</v>
      </c>
      <c r="I14" s="5" t="n">
        <f aca="false">IF(E14="","",E14/5)</f>
        <v>8</v>
      </c>
      <c r="J14" s="7"/>
      <c r="K14" s="5" t="n">
        <f aca="false">IF(I14="","",IF(J14="",H14,J14)*I14)</f>
        <v>200</v>
      </c>
      <c r="L14" s="12" t="n">
        <v>280</v>
      </c>
      <c r="M14" s="12" t="n">
        <f aca="false">IF(K14="","",K14-L14)</f>
        <v>-80</v>
      </c>
      <c r="N14" s="4"/>
    </row>
    <row r="15" customFormat="false" ht="15" hidden="false" customHeight="false" outlineLevel="0" collapsed="false">
      <c r="A15" s="4" t="n">
        <v>27</v>
      </c>
      <c r="B15" s="4" t="s">
        <v>28</v>
      </c>
      <c r="C15" s="4" t="s">
        <v>18</v>
      </c>
      <c r="D15" s="4" t="s">
        <v>37</v>
      </c>
      <c r="E15" s="5" t="n">
        <v>40</v>
      </c>
      <c r="F15" s="5"/>
      <c r="G15" s="5"/>
      <c r="H15" s="6" t="n">
        <f aca="false">IF(AND(F15="",G15=""),0,SUM(F15:G15))</f>
        <v>0</v>
      </c>
      <c r="I15" s="5" t="n">
        <f aca="false">IF(E15="","",E15/5)</f>
        <v>8</v>
      </c>
      <c r="J15" s="7"/>
      <c r="K15" s="5" t="n">
        <f aca="false">IF(I15="","",IF(J15="",H15,J15)*I15)</f>
        <v>0</v>
      </c>
      <c r="L15" s="5" t="n">
        <v>0</v>
      </c>
      <c r="M15" s="5" t="n">
        <f aca="false">IF(K15="","",K15-L15)</f>
        <v>0</v>
      </c>
      <c r="N15" s="4"/>
    </row>
    <row r="16" customFormat="false" ht="15" hidden="false" customHeight="false" outlineLevel="0" collapsed="false">
      <c r="A16" s="4" t="n">
        <v>29</v>
      </c>
      <c r="B16" s="4" t="s">
        <v>38</v>
      </c>
      <c r="C16" s="4" t="s">
        <v>21</v>
      </c>
      <c r="D16" s="4" t="s">
        <v>39</v>
      </c>
      <c r="E16" s="5" t="n">
        <v>40</v>
      </c>
      <c r="F16" s="5" t="n">
        <v>20</v>
      </c>
      <c r="G16" s="5" t="n">
        <v>5</v>
      </c>
      <c r="H16" s="6" t="n">
        <f aca="false">IF(AND(F16="",G16=""),0,SUM(F16:G16))</f>
        <v>25</v>
      </c>
      <c r="I16" s="5" t="n">
        <f aca="false">IF(E16="","",E16/5)</f>
        <v>8</v>
      </c>
      <c r="J16" s="7"/>
      <c r="K16" s="5" t="n">
        <f aca="false">IF(I16="","",IF(J16="",H16,J16)*I16)</f>
        <v>200</v>
      </c>
      <c r="L16" s="5" t="n">
        <v>72</v>
      </c>
      <c r="M16" s="5" t="n">
        <f aca="false">IF(K16="","",K16-L16)</f>
        <v>128</v>
      </c>
      <c r="N16" s="4"/>
    </row>
    <row r="17" customFormat="false" ht="15" hidden="false" customHeight="false" outlineLevel="0" collapsed="false">
      <c r="A17" s="4" t="n">
        <v>40</v>
      </c>
      <c r="B17" s="4" t="s">
        <v>40</v>
      </c>
      <c r="C17" s="4" t="s">
        <v>21</v>
      </c>
      <c r="D17" s="4" t="s">
        <v>41</v>
      </c>
      <c r="E17" s="5" t="n">
        <v>40</v>
      </c>
      <c r="F17" s="5" t="n">
        <v>20</v>
      </c>
      <c r="G17" s="5" t="n">
        <v>10</v>
      </c>
      <c r="H17" s="6" t="n">
        <f aca="false">IF(AND(F17="",G17=""),0,SUM(F17:G17))</f>
        <v>30</v>
      </c>
      <c r="I17" s="5" t="n">
        <f aca="false">IF(E17="","",E17/5)</f>
        <v>8</v>
      </c>
      <c r="J17" s="7"/>
      <c r="K17" s="5" t="n">
        <f aca="false">IF(I17="","",IF(J17="",H17,J17)*I17)</f>
        <v>240</v>
      </c>
      <c r="L17" s="5" t="n">
        <v>200</v>
      </c>
      <c r="M17" s="5" t="n">
        <f aca="false">IF(K17="","",K17-L17)</f>
        <v>40</v>
      </c>
      <c r="N17" s="4"/>
    </row>
    <row r="18" customFormat="false" ht="15" hidden="false" customHeight="false" outlineLevel="0" collapsed="false">
      <c r="A18" s="8" t="n">
        <v>41</v>
      </c>
      <c r="B18" s="8" t="s">
        <v>20</v>
      </c>
      <c r="C18" s="8" t="s">
        <v>21</v>
      </c>
      <c r="D18" s="8" t="s">
        <v>42</v>
      </c>
      <c r="E18" s="9" t="n">
        <v>40</v>
      </c>
      <c r="F18" s="9"/>
      <c r="G18" s="9"/>
      <c r="H18" s="10" t="n">
        <f aca="false">IF(AND(F18="",G18=""),0,SUM(F18:G18))</f>
        <v>0</v>
      </c>
      <c r="I18" s="5" t="n">
        <f aca="false">IF(E18="","",E18/5)</f>
        <v>8</v>
      </c>
      <c r="J18" s="7"/>
      <c r="K18" s="5" t="n">
        <f aca="false">IF(I18="","",IF(J18="",H18,J18)*I18)</f>
        <v>0</v>
      </c>
      <c r="L18" s="5" t="n">
        <v>0</v>
      </c>
      <c r="M18" s="5" t="n">
        <f aca="false">IF(K18="","",K18-L18)</f>
        <v>0</v>
      </c>
      <c r="N18" s="11" t="s">
        <v>43</v>
      </c>
    </row>
    <row r="19" customFormat="false" ht="15" hidden="false" customHeight="false" outlineLevel="0" collapsed="false">
      <c r="A19" s="4" t="n">
        <v>42</v>
      </c>
      <c r="B19" s="4" t="s">
        <v>44</v>
      </c>
      <c r="C19" s="4" t="s">
        <v>21</v>
      </c>
      <c r="D19" s="4" t="s">
        <v>45</v>
      </c>
      <c r="E19" s="5" t="n">
        <v>20</v>
      </c>
      <c r="F19" s="5" t="n">
        <v>20</v>
      </c>
      <c r="G19" s="5" t="n">
        <v>5</v>
      </c>
      <c r="H19" s="6" t="n">
        <f aca="false">IF(AND(F19="",G19=""),0,SUM(F19:G19))</f>
        <v>25</v>
      </c>
      <c r="I19" s="5" t="n">
        <f aca="false">IF(E19="","",E19/5)</f>
        <v>4</v>
      </c>
      <c r="J19" s="7"/>
      <c r="K19" s="5" t="n">
        <f aca="false">IF(I19="","",IF(J19="",H19,J19)*I19)</f>
        <v>100</v>
      </c>
      <c r="L19" s="12" t="n">
        <v>120</v>
      </c>
      <c r="M19" s="12" t="n">
        <f aca="false">IF(K19="","",K19-L19)</f>
        <v>-20</v>
      </c>
      <c r="N19" s="4"/>
    </row>
    <row r="20" customFormat="false" ht="15" hidden="false" customHeight="false" outlineLevel="0" collapsed="false">
      <c r="A20" s="4" t="n">
        <v>45</v>
      </c>
      <c r="B20" s="4" t="s">
        <v>46</v>
      </c>
      <c r="C20" s="4" t="s">
        <v>18</v>
      </c>
      <c r="D20" s="4" t="s">
        <v>47</v>
      </c>
      <c r="E20" s="5" t="n">
        <v>40</v>
      </c>
      <c r="F20" s="5"/>
      <c r="G20" s="5" t="n">
        <v>20</v>
      </c>
      <c r="H20" s="6" t="n">
        <f aca="false">IF(AND(F20="",G20=""),0,SUM(F20:G20))</f>
        <v>20</v>
      </c>
      <c r="I20" s="5" t="n">
        <f aca="false">IF(E20="","",E20/5)</f>
        <v>8</v>
      </c>
      <c r="J20" s="7"/>
      <c r="K20" s="5" t="n">
        <f aca="false">IF(I20="","",IF(J20="",H20,J20)*I20)</f>
        <v>160</v>
      </c>
      <c r="L20" s="5" t="n">
        <v>40</v>
      </c>
      <c r="M20" s="5" t="n">
        <f aca="false">IF(K20="","",K20-L20)</f>
        <v>120</v>
      </c>
      <c r="N20" s="4"/>
    </row>
    <row r="21" customFormat="false" ht="15" hidden="false" customHeight="false" outlineLevel="0" collapsed="false">
      <c r="A21" s="4" t="n">
        <v>46</v>
      </c>
      <c r="B21" s="4" t="s">
        <v>48</v>
      </c>
      <c r="C21" s="4" t="s">
        <v>21</v>
      </c>
      <c r="D21" s="4" t="s">
        <v>49</v>
      </c>
      <c r="E21" s="5" t="n">
        <v>40</v>
      </c>
      <c r="F21" s="5" t="n">
        <v>20</v>
      </c>
      <c r="G21" s="5" t="n">
        <v>5</v>
      </c>
      <c r="H21" s="6" t="n">
        <f aca="false">IF(AND(F21="",G21=""),0,SUM(F21:G21))</f>
        <v>25</v>
      </c>
      <c r="I21" s="5" t="n">
        <f aca="false">IF(E21="","",E21/5)</f>
        <v>8</v>
      </c>
      <c r="J21" s="7"/>
      <c r="K21" s="5" t="n">
        <f aca="false">IF(I21="","",IF(J21="",H21,J21)*I21)</f>
        <v>200</v>
      </c>
      <c r="L21" s="5" t="n">
        <v>120</v>
      </c>
      <c r="M21" s="5" t="n">
        <f aca="false">IF(K21="","",K21-L21)</f>
        <v>80</v>
      </c>
      <c r="N21" s="4"/>
    </row>
    <row r="22" customFormat="false" ht="15" hidden="false" customHeight="false" outlineLevel="0" collapsed="false">
      <c r="A22" s="8" t="n">
        <v>47</v>
      </c>
      <c r="B22" s="8" t="s">
        <v>50</v>
      </c>
      <c r="C22" s="8" t="s">
        <v>21</v>
      </c>
      <c r="D22" s="8" t="s">
        <v>51</v>
      </c>
      <c r="E22" s="9" t="n">
        <v>40</v>
      </c>
      <c r="F22" s="9"/>
      <c r="G22" s="9"/>
      <c r="H22" s="10" t="n">
        <f aca="false">IF(AND(F22="",G22=""),0,SUM(F22:G22))</f>
        <v>0</v>
      </c>
      <c r="I22" s="5" t="n">
        <f aca="false">IF(E22="","",E22/5)</f>
        <v>8</v>
      </c>
      <c r="J22" s="7"/>
      <c r="K22" s="5" t="n">
        <f aca="false">IF(I22="","",IF(J22="",H22,J22)*I22)</f>
        <v>0</v>
      </c>
      <c r="L22" s="5" t="n">
        <v>0</v>
      </c>
      <c r="M22" s="5" t="n">
        <f aca="false">IF(K22="","",K22-L22)</f>
        <v>0</v>
      </c>
      <c r="N22" s="11" t="s">
        <v>43</v>
      </c>
    </row>
    <row r="23" customFormat="false" ht="15" hidden="false" customHeight="false" outlineLevel="0" collapsed="false">
      <c r="A23" s="4" t="n">
        <v>48</v>
      </c>
      <c r="B23" s="4" t="s">
        <v>52</v>
      </c>
      <c r="C23" s="4" t="s">
        <v>21</v>
      </c>
      <c r="D23" s="4" t="s">
        <v>53</v>
      </c>
      <c r="E23" s="5" t="n">
        <v>40</v>
      </c>
      <c r="F23" s="5" t="n">
        <v>20</v>
      </c>
      <c r="G23" s="5" t="n">
        <v>5</v>
      </c>
      <c r="H23" s="6" t="n">
        <f aca="false">IF(AND(F23="",G23=""),0,SUM(F23:G23))</f>
        <v>25</v>
      </c>
      <c r="I23" s="5" t="n">
        <f aca="false">IF(E23="","",E23/5)</f>
        <v>8</v>
      </c>
      <c r="J23" s="7"/>
      <c r="K23" s="5" t="n">
        <f aca="false">IF(I23="","",IF(J23="",H23,J23)*I23)</f>
        <v>200</v>
      </c>
      <c r="L23" s="5" t="n">
        <v>168</v>
      </c>
      <c r="M23" s="5" t="n">
        <f aca="false">IF(K23="","",K23-L23)</f>
        <v>32</v>
      </c>
      <c r="N23" s="4"/>
    </row>
    <row r="24" customFormat="false" ht="15" hidden="false" customHeight="false" outlineLevel="0" collapsed="false">
      <c r="A24" s="4" t="n">
        <v>49</v>
      </c>
      <c r="B24" s="4" t="s">
        <v>54</v>
      </c>
      <c r="C24" s="4" t="s">
        <v>21</v>
      </c>
      <c r="D24" s="4" t="s">
        <v>53</v>
      </c>
      <c r="E24" s="5" t="n">
        <v>30</v>
      </c>
      <c r="F24" s="5" t="n">
        <v>20</v>
      </c>
      <c r="G24" s="5" t="n">
        <v>5</v>
      </c>
      <c r="H24" s="6" t="n">
        <f aca="false">IF(AND(F24="",G24=""),0,SUM(F24:G24))</f>
        <v>25</v>
      </c>
      <c r="I24" s="5" t="n">
        <f aca="false">IF(E24="","",E24/5)</f>
        <v>6</v>
      </c>
      <c r="J24" s="7"/>
      <c r="K24" s="5" t="n">
        <f aca="false">IF(I24="","",IF(J24="",H24,J24)*I24)</f>
        <v>150</v>
      </c>
      <c r="L24" s="5" t="n">
        <v>72.7</v>
      </c>
      <c r="M24" s="5" t="n">
        <f aca="false">IF(K24="","",K24-L24)</f>
        <v>77.3</v>
      </c>
      <c r="N24" s="4"/>
    </row>
    <row r="25" customFormat="false" ht="15" hidden="false" customHeight="false" outlineLevel="0" collapsed="false">
      <c r="A25" s="4" t="n">
        <v>50</v>
      </c>
      <c r="B25" s="4" t="s">
        <v>55</v>
      </c>
      <c r="C25" s="4" t="s">
        <v>21</v>
      </c>
      <c r="D25" s="4" t="s">
        <v>56</v>
      </c>
      <c r="E25" s="5" t="n">
        <v>35</v>
      </c>
      <c r="F25" s="5" t="n">
        <v>20</v>
      </c>
      <c r="G25" s="5" t="n">
        <v>5</v>
      </c>
      <c r="H25" s="6" t="n">
        <f aca="false">IF(AND(F25="",G25=""),0,SUM(F25:G25))</f>
        <v>25</v>
      </c>
      <c r="I25" s="5" t="n">
        <f aca="false">IF(E25="","",E25/5)</f>
        <v>7</v>
      </c>
      <c r="J25" s="7"/>
      <c r="K25" s="5" t="n">
        <f aca="false">IF(I25="","",IF(J25="",H25,J25)*I25)</f>
        <v>175</v>
      </c>
      <c r="L25" s="12" t="n">
        <v>200</v>
      </c>
      <c r="M25" s="12" t="n">
        <f aca="false">IF(K25="","",K25-L25)</f>
        <v>-25</v>
      </c>
      <c r="N25" s="4"/>
    </row>
    <row r="26" customFormat="false" ht="15" hidden="false" customHeight="false" outlineLevel="0" collapsed="false">
      <c r="A26" s="4" t="n">
        <v>105</v>
      </c>
      <c r="B26" s="4" t="s">
        <v>57</v>
      </c>
      <c r="C26" s="4" t="s">
        <v>18</v>
      </c>
      <c r="D26" s="4" t="s">
        <v>27</v>
      </c>
      <c r="E26" s="5" t="n">
        <v>40</v>
      </c>
      <c r="F26" s="5"/>
      <c r="G26" s="5" t="n">
        <v>26</v>
      </c>
      <c r="H26" s="6" t="n">
        <f aca="false">IF(AND(F26="",G26=""),0,SUM(F26:G26))</f>
        <v>26</v>
      </c>
      <c r="I26" s="5" t="n">
        <f aca="false">IF(E26="","",E26/5)</f>
        <v>8</v>
      </c>
      <c r="J26" s="7"/>
      <c r="K26" s="5" t="n">
        <f aca="false">IF(I26="","",IF(J26="",H26,J26)*I26)</f>
        <v>208</v>
      </c>
      <c r="L26" s="5" t="n">
        <v>136</v>
      </c>
      <c r="M26" s="5" t="n">
        <f aca="false">IF(K26="","",K26-L26)</f>
        <v>72</v>
      </c>
      <c r="N26" s="4"/>
    </row>
    <row r="27" customFormat="false" ht="15" hidden="false" customHeight="false" outlineLevel="0" collapsed="false">
      <c r="A27" s="4" t="n">
        <v>126</v>
      </c>
      <c r="B27" s="4" t="s">
        <v>58</v>
      </c>
      <c r="C27" s="4" t="s">
        <v>21</v>
      </c>
      <c r="D27" s="4" t="s">
        <v>59</v>
      </c>
      <c r="E27" s="5" t="n">
        <v>40</v>
      </c>
      <c r="F27" s="5" t="n">
        <v>20</v>
      </c>
      <c r="G27" s="5" t="n">
        <v>5</v>
      </c>
      <c r="H27" s="6" t="n">
        <f aca="false">IF(AND(F27="",G27=""),0,SUM(F27:G27))</f>
        <v>25</v>
      </c>
      <c r="I27" s="5" t="n">
        <f aca="false">IF(E27="","",E27/5)</f>
        <v>8</v>
      </c>
      <c r="J27" s="7"/>
      <c r="K27" s="5" t="n">
        <f aca="false">IF(I27="","",IF(J27="",H27,J27)*I27)</f>
        <v>200</v>
      </c>
      <c r="L27" s="5" t="n">
        <v>148</v>
      </c>
      <c r="M27" s="5" t="n">
        <f aca="false">IF(K27="","",K27-L27)</f>
        <v>52</v>
      </c>
      <c r="N27" s="4"/>
    </row>
    <row r="28" customFormat="false" ht="15" hidden="false" customHeight="false" outlineLevel="0" collapsed="false">
      <c r="A28" s="4" t="n">
        <v>147</v>
      </c>
      <c r="B28" s="4" t="s">
        <v>60</v>
      </c>
      <c r="C28" s="4" t="s">
        <v>21</v>
      </c>
      <c r="D28" s="4" t="s">
        <v>61</v>
      </c>
      <c r="E28" s="5" t="n">
        <v>40</v>
      </c>
      <c r="F28" s="5" t="n">
        <v>20</v>
      </c>
      <c r="G28" s="5" t="n">
        <v>6</v>
      </c>
      <c r="H28" s="6" t="n">
        <f aca="false">IF(AND(F28="",G28=""),0,SUM(F28:G28))</f>
        <v>26</v>
      </c>
      <c r="I28" s="5" t="n">
        <f aca="false">IF(E28="","",E28/5)</f>
        <v>8</v>
      </c>
      <c r="J28" s="7"/>
      <c r="K28" s="5" t="n">
        <f aca="false">IF(I28="","",IF(J28="",H28,J28)*I28)</f>
        <v>208</v>
      </c>
      <c r="L28" s="12" t="n">
        <v>220</v>
      </c>
      <c r="M28" s="12" t="n">
        <f aca="false">IF(K28="","",K28-L28)</f>
        <v>-12</v>
      </c>
      <c r="N28" s="4"/>
    </row>
    <row r="29" customFormat="false" ht="15" hidden="false" customHeight="false" outlineLevel="0" collapsed="false">
      <c r="A29" s="4" t="n">
        <v>322</v>
      </c>
      <c r="B29" s="4" t="s">
        <v>62</v>
      </c>
      <c r="C29" s="4" t="s">
        <v>21</v>
      </c>
      <c r="D29" s="4" t="s">
        <v>61</v>
      </c>
      <c r="E29" s="5" t="n">
        <v>40</v>
      </c>
      <c r="F29" s="5" t="n">
        <v>20</v>
      </c>
      <c r="G29" s="5" t="n">
        <v>6</v>
      </c>
      <c r="H29" s="6" t="n">
        <f aca="false">IF(AND(F29="",G29=""),0,SUM(F29:G29))</f>
        <v>26</v>
      </c>
      <c r="I29" s="5" t="n">
        <f aca="false">IF(E29="","",E29/5)</f>
        <v>8</v>
      </c>
      <c r="J29" s="7"/>
      <c r="K29" s="5" t="n">
        <f aca="false">IF(I29="","",IF(J29="",H29,J29)*I29)</f>
        <v>208</v>
      </c>
      <c r="L29" s="5" t="n">
        <v>132</v>
      </c>
      <c r="M29" s="5" t="n">
        <f aca="false">IF(K29="","",K29-L29)</f>
        <v>76</v>
      </c>
      <c r="N29" s="4"/>
    </row>
    <row r="30" customFormat="false" ht="15" hidden="false" customHeight="false" outlineLevel="0" collapsed="false">
      <c r="A30" s="4" t="n">
        <v>327</v>
      </c>
      <c r="B30" s="4" t="s">
        <v>63</v>
      </c>
      <c r="C30" s="4" t="s">
        <v>18</v>
      </c>
      <c r="D30" s="4" t="s">
        <v>27</v>
      </c>
      <c r="E30" s="5" t="n">
        <v>40</v>
      </c>
      <c r="F30" s="5"/>
      <c r="G30" s="5" t="n">
        <v>6</v>
      </c>
      <c r="H30" s="6" t="n">
        <f aca="false">IF(AND(F30="",G30=""),0,SUM(F30:G30))</f>
        <v>6</v>
      </c>
      <c r="I30" s="5" t="n">
        <f aca="false">IF(E30="","",E30/5)</f>
        <v>8</v>
      </c>
      <c r="J30" s="7"/>
      <c r="K30" s="5" t="n">
        <f aca="false">IF(I30="","",IF(J30="",H30,J30)*I30)</f>
        <v>48</v>
      </c>
      <c r="L30" s="5" t="n">
        <v>0</v>
      </c>
      <c r="M30" s="5" t="n">
        <f aca="false">IF(K30="","",K30-L30)</f>
        <v>48</v>
      </c>
      <c r="N30" s="4"/>
    </row>
    <row r="31" customFormat="false" ht="15" hidden="false" customHeight="false" outlineLevel="0" collapsed="false">
      <c r="A31" s="4" t="n">
        <v>346</v>
      </c>
      <c r="B31" s="4" t="s">
        <v>64</v>
      </c>
      <c r="C31" s="4" t="s">
        <v>18</v>
      </c>
      <c r="D31" s="4" t="s">
        <v>27</v>
      </c>
      <c r="E31" s="5" t="n">
        <v>40</v>
      </c>
      <c r="F31" s="5"/>
      <c r="G31" s="5" t="n">
        <v>6</v>
      </c>
      <c r="H31" s="6" t="n">
        <f aca="false">IF(AND(F31="",G31=""),0,SUM(F31:G31))</f>
        <v>6</v>
      </c>
      <c r="I31" s="5" t="n">
        <f aca="false">IF(E31="","",E31/5)</f>
        <v>8</v>
      </c>
      <c r="J31" s="7"/>
      <c r="K31" s="5" t="n">
        <f aca="false">IF(I31="","",IF(J31="",H31,J31)*I31)</f>
        <v>48</v>
      </c>
      <c r="L31" s="5" t="n">
        <v>48</v>
      </c>
      <c r="M31" s="5" t="n">
        <f aca="false">IF(K31="","",K31-L31)</f>
        <v>0</v>
      </c>
      <c r="N31" s="4"/>
    </row>
    <row r="32" customFormat="false" ht="15" hidden="false" customHeight="false" outlineLevel="0" collapsed="false">
      <c r="A32" s="4" t="n">
        <v>349</v>
      </c>
      <c r="B32" s="4" t="s">
        <v>65</v>
      </c>
      <c r="C32" s="4" t="s">
        <v>18</v>
      </c>
      <c r="D32" s="4" t="s">
        <v>66</v>
      </c>
      <c r="E32" s="5" t="n">
        <v>30</v>
      </c>
      <c r="F32" s="5"/>
      <c r="G32" s="5" t="n">
        <v>26</v>
      </c>
      <c r="H32" s="6" t="n">
        <f aca="false">IF(AND(F32="",G32=""),0,SUM(F32:G32))</f>
        <v>26</v>
      </c>
      <c r="I32" s="5" t="n">
        <f aca="false">IF(E32="","",E32/5)</f>
        <v>6</v>
      </c>
      <c r="J32" s="7"/>
      <c r="K32" s="5" t="n">
        <f aca="false">IF(I32="","",IF(J32="",H32,J32)*I32)</f>
        <v>156</v>
      </c>
      <c r="L32" s="5" t="n">
        <v>0</v>
      </c>
      <c r="M32" s="5" t="n">
        <f aca="false">IF(K32="","",K32-L32)</f>
        <v>156</v>
      </c>
      <c r="N32" s="4"/>
    </row>
    <row r="33" customFormat="false" ht="15" hidden="false" customHeight="false" outlineLevel="0" collapsed="false">
      <c r="A33" s="4" t="n">
        <v>356</v>
      </c>
      <c r="B33" s="4" t="s">
        <v>67</v>
      </c>
      <c r="C33" s="4" t="s">
        <v>21</v>
      </c>
      <c r="D33" s="4" t="s">
        <v>61</v>
      </c>
      <c r="E33" s="5" t="n">
        <v>35</v>
      </c>
      <c r="F33" s="5" t="n">
        <v>20</v>
      </c>
      <c r="G33" s="5" t="n">
        <v>6</v>
      </c>
      <c r="H33" s="6" t="n">
        <f aca="false">IF(AND(F33="",G33=""),0,SUM(F33:G33))</f>
        <v>26</v>
      </c>
      <c r="I33" s="5" t="n">
        <f aca="false">IF(E33="","",E33/5)</f>
        <v>7</v>
      </c>
      <c r="J33" s="7"/>
      <c r="K33" s="5" t="n">
        <f aca="false">IF(I33="","",IF(J33="",H33,J33)*I33)</f>
        <v>182</v>
      </c>
      <c r="L33" s="5" t="n">
        <v>174</v>
      </c>
      <c r="M33" s="5" t="n">
        <f aca="false">IF(K33="","",K33-L33)</f>
        <v>8</v>
      </c>
      <c r="N33" s="4"/>
    </row>
    <row r="34" customFormat="false" ht="15" hidden="false" customHeight="false" outlineLevel="0" collapsed="false">
      <c r="A34" s="8" t="n">
        <v>361</v>
      </c>
      <c r="B34" s="8" t="s">
        <v>68</v>
      </c>
      <c r="C34" s="8" t="s">
        <v>21</v>
      </c>
      <c r="D34" s="8" t="s">
        <v>29</v>
      </c>
      <c r="E34" s="9" t="n">
        <v>15</v>
      </c>
      <c r="F34" s="9" t="n">
        <v>20</v>
      </c>
      <c r="G34" s="9"/>
      <c r="H34" s="10" t="n">
        <f aca="false">IF(AND(F34="",G34=""),0,SUM(F34:G34))</f>
        <v>20</v>
      </c>
      <c r="I34" s="5" t="n">
        <f aca="false">IF(E34="","",E34/5)</f>
        <v>3</v>
      </c>
      <c r="J34" s="7"/>
      <c r="K34" s="5" t="n">
        <f aca="false">IF(I34="","",IF(J34="",H34,J34)*I34)</f>
        <v>60</v>
      </c>
      <c r="L34" s="5" t="n">
        <v>0</v>
      </c>
      <c r="M34" s="5" t="n">
        <f aca="false">IF(K34="","",K34-L34)</f>
        <v>60</v>
      </c>
      <c r="N34" s="11" t="s">
        <v>69</v>
      </c>
    </row>
    <row r="35" customFormat="false" ht="15" hidden="false" customHeight="false" outlineLevel="0" collapsed="false">
      <c r="A35" s="4" t="n">
        <v>370</v>
      </c>
      <c r="B35" s="4" t="s">
        <v>70</v>
      </c>
      <c r="C35" s="4" t="s">
        <v>18</v>
      </c>
      <c r="D35" s="4" t="s">
        <v>27</v>
      </c>
      <c r="E35" s="5" t="n">
        <v>40</v>
      </c>
      <c r="F35" s="5"/>
      <c r="G35" s="5" t="n">
        <v>6</v>
      </c>
      <c r="H35" s="6" t="n">
        <f aca="false">IF(AND(F35="",G35=""),0,SUM(F35:G35))</f>
        <v>6</v>
      </c>
      <c r="I35" s="5" t="n">
        <f aca="false">IF(E35="","",E35/5)</f>
        <v>8</v>
      </c>
      <c r="J35" s="7"/>
      <c r="K35" s="5" t="n">
        <f aca="false">IF(I35="","",IF(J35="",H35,J35)*I35)</f>
        <v>48</v>
      </c>
      <c r="L35" s="5" t="n">
        <v>32</v>
      </c>
      <c r="M35" s="5" t="n">
        <f aca="false">IF(K35="","",K35-L35)</f>
        <v>16</v>
      </c>
      <c r="N35" s="4"/>
    </row>
    <row r="36" customFormat="false" ht="15" hidden="false" customHeight="false" outlineLevel="0" collapsed="false">
      <c r="A36" s="4" t="n">
        <v>371</v>
      </c>
      <c r="B36" s="4" t="s">
        <v>71</v>
      </c>
      <c r="C36" s="4" t="s">
        <v>18</v>
      </c>
      <c r="D36" s="4" t="s">
        <v>72</v>
      </c>
      <c r="E36" s="5" t="n">
        <v>40</v>
      </c>
      <c r="F36" s="5"/>
      <c r="G36" s="5" t="n">
        <v>6</v>
      </c>
      <c r="H36" s="6" t="n">
        <f aca="false">IF(AND(F36="",G36=""),0,SUM(F36:G36))</f>
        <v>6</v>
      </c>
      <c r="I36" s="5" t="n">
        <f aca="false">IF(E36="","",E36/5)</f>
        <v>8</v>
      </c>
      <c r="J36" s="7"/>
      <c r="K36" s="5" t="n">
        <f aca="false">IF(I36="","",IF(J36="",H36,J36)*I36)</f>
        <v>48</v>
      </c>
      <c r="L36" s="5" t="n">
        <v>0</v>
      </c>
      <c r="M36" s="5" t="n">
        <f aca="false">IF(K36="","",K36-L36)</f>
        <v>48</v>
      </c>
      <c r="N36" s="4"/>
    </row>
    <row r="37" customFormat="false" ht="15" hidden="false" customHeight="false" outlineLevel="0" collapsed="false">
      <c r="A37" s="4" t="n">
        <v>372</v>
      </c>
      <c r="B37" s="4" t="s">
        <v>73</v>
      </c>
      <c r="C37" s="4" t="s">
        <v>18</v>
      </c>
      <c r="D37" s="4" t="s">
        <v>74</v>
      </c>
      <c r="E37" s="5" t="n">
        <v>40</v>
      </c>
      <c r="F37" s="5"/>
      <c r="G37" s="5"/>
      <c r="H37" s="6" t="n">
        <f aca="false">IF(AND(F37="",G37=""),0,SUM(F37:G37))</f>
        <v>0</v>
      </c>
      <c r="I37" s="5" t="n">
        <f aca="false">IF(E37="","",E37/5)</f>
        <v>8</v>
      </c>
      <c r="J37" s="7"/>
      <c r="K37" s="5" t="n">
        <f aca="false">IF(I37="","",IF(J37="",H37,J37)*I37)</f>
        <v>0</v>
      </c>
      <c r="L37" s="5" t="n">
        <v>0</v>
      </c>
      <c r="M37" s="5" t="n">
        <f aca="false">IF(K37="","",K37-L37)</f>
        <v>0</v>
      </c>
      <c r="N37" s="4"/>
    </row>
    <row r="38" customFormat="false" ht="15" hidden="false" customHeight="false" outlineLevel="0" collapsed="false">
      <c r="A38" s="4" t="n">
        <v>374</v>
      </c>
      <c r="B38" s="4" t="s">
        <v>75</v>
      </c>
      <c r="C38" s="4" t="s">
        <v>76</v>
      </c>
      <c r="D38" s="4" t="s">
        <v>77</v>
      </c>
      <c r="E38" s="5" t="n">
        <v>5</v>
      </c>
      <c r="F38" s="5"/>
      <c r="G38" s="5"/>
      <c r="H38" s="6" t="n">
        <f aca="false">IF(AND(F38="",G38=""),0,SUM(F38:G38))</f>
        <v>0</v>
      </c>
      <c r="I38" s="5" t="n">
        <f aca="false">IF(E38="","",E38/5)</f>
        <v>1</v>
      </c>
      <c r="J38" s="7"/>
      <c r="K38" s="5" t="n">
        <f aca="false">IF(I38="","",IF(J38="",H38,J38)*I38)</f>
        <v>0</v>
      </c>
      <c r="L38" s="5" t="n">
        <v>0</v>
      </c>
      <c r="M38" s="5" t="n">
        <f aca="false">IF(K38="","",K38-L38)</f>
        <v>0</v>
      </c>
      <c r="N38" s="4"/>
    </row>
    <row r="39" customFormat="false" ht="15" hidden="false" customHeight="false" outlineLevel="0" collapsed="false">
      <c r="A39" s="4" t="n">
        <v>381</v>
      </c>
      <c r="B39" s="4" t="s">
        <v>78</v>
      </c>
      <c r="C39" s="4" t="s">
        <v>21</v>
      </c>
      <c r="D39" s="4" t="s">
        <v>42</v>
      </c>
      <c r="E39" s="5" t="n">
        <v>40</v>
      </c>
      <c r="F39" s="5" t="n">
        <v>20</v>
      </c>
      <c r="G39" s="5" t="n">
        <v>5</v>
      </c>
      <c r="H39" s="6" t="n">
        <f aca="false">IF(AND(F39="",G39=""),0,SUM(F39:G39))</f>
        <v>25</v>
      </c>
      <c r="I39" s="5" t="n">
        <f aca="false">IF(E39="","",E39/5)</f>
        <v>8</v>
      </c>
      <c r="J39" s="7"/>
      <c r="K39" s="5" t="n">
        <f aca="false">IF(I39="","",IF(J39="",H39,J39)*I39)</f>
        <v>200</v>
      </c>
      <c r="L39" s="5" t="n">
        <v>0</v>
      </c>
      <c r="M39" s="5" t="n">
        <f aca="false">IF(K39="","",K39-L39)</f>
        <v>200</v>
      </c>
      <c r="N39" s="4"/>
    </row>
    <row r="40" customFormat="false" ht="15" hidden="false" customHeight="false" outlineLevel="0" collapsed="false">
      <c r="A40" s="4" t="n">
        <v>420</v>
      </c>
      <c r="B40" s="4" t="s">
        <v>79</v>
      </c>
      <c r="C40" s="4" t="s">
        <v>21</v>
      </c>
      <c r="D40" s="4" t="s">
        <v>27</v>
      </c>
      <c r="E40" s="5" t="n">
        <v>40</v>
      </c>
      <c r="F40" s="5" t="n">
        <v>20</v>
      </c>
      <c r="G40" s="5" t="n">
        <v>5</v>
      </c>
      <c r="H40" s="6" t="n">
        <f aca="false">IF(AND(F40="",G40=""),0,SUM(F40:G40))</f>
        <v>25</v>
      </c>
      <c r="I40" s="5" t="n">
        <f aca="false">IF(E40="","",E40/5)</f>
        <v>8</v>
      </c>
      <c r="J40" s="7"/>
      <c r="K40" s="5" t="n">
        <f aca="false">IF(I40="","",IF(J40="",H40,J40)*I40)</f>
        <v>200</v>
      </c>
      <c r="L40" s="5" t="n">
        <v>136</v>
      </c>
      <c r="M40" s="5" t="n">
        <f aca="false">IF(K40="","",K40-L40)</f>
        <v>64</v>
      </c>
      <c r="N40" s="4"/>
    </row>
    <row r="41" customFormat="false" ht="15" hidden="false" customHeight="false" outlineLevel="0" collapsed="false">
      <c r="A41" s="4" t="n">
        <v>425</v>
      </c>
      <c r="B41" s="4" t="s">
        <v>80</v>
      </c>
      <c r="C41" s="4" t="s">
        <v>18</v>
      </c>
      <c r="D41" s="4" t="s">
        <v>27</v>
      </c>
      <c r="E41" s="5" t="n">
        <v>40</v>
      </c>
      <c r="F41" s="5"/>
      <c r="G41" s="5"/>
      <c r="H41" s="6" t="n">
        <f aca="false">IF(AND(F41="",G41=""),0,SUM(F41:G41))</f>
        <v>0</v>
      </c>
      <c r="I41" s="5" t="n">
        <f aca="false">IF(E41="","",E41/5)</f>
        <v>8</v>
      </c>
      <c r="J41" s="7"/>
      <c r="K41" s="5" t="n">
        <f aca="false">IF(I41="","",IF(J41="",H41,J41)*I41)</f>
        <v>0</v>
      </c>
      <c r="L41" s="5" t="n">
        <v>0</v>
      </c>
      <c r="M41" s="5" t="n">
        <f aca="false">IF(K41="","",K41-L41)</f>
        <v>0</v>
      </c>
      <c r="N41" s="4"/>
    </row>
    <row r="42" customFormat="false" ht="15" hidden="false" customHeight="false" outlineLevel="0" collapsed="false">
      <c r="A42" s="4" t="n">
        <v>433</v>
      </c>
      <c r="B42" s="4" t="s">
        <v>81</v>
      </c>
      <c r="C42" s="4" t="s">
        <v>21</v>
      </c>
      <c r="D42" s="4" t="s">
        <v>61</v>
      </c>
      <c r="E42" s="5" t="n">
        <v>40</v>
      </c>
      <c r="F42" s="5" t="n">
        <v>20</v>
      </c>
      <c r="G42" s="5" t="n">
        <v>5</v>
      </c>
      <c r="H42" s="6" t="n">
        <f aca="false">IF(AND(F42="",G42=""),0,SUM(F42:G42))</f>
        <v>25</v>
      </c>
      <c r="I42" s="5" t="n">
        <f aca="false">IF(E42="","",E42/5)</f>
        <v>8</v>
      </c>
      <c r="J42" s="7"/>
      <c r="K42" s="5" t="n">
        <f aca="false">IF(I42="","",IF(J42="",H42,J42)*I42)</f>
        <v>200</v>
      </c>
      <c r="L42" s="12" t="n">
        <v>224</v>
      </c>
      <c r="M42" s="12" t="n">
        <f aca="false">IF(K42="","",K42-L42)</f>
        <v>-24</v>
      </c>
      <c r="N42" s="4"/>
    </row>
    <row r="43" customFormat="false" ht="15" hidden="false" customHeight="false" outlineLevel="0" collapsed="false">
      <c r="A43" s="4" t="n">
        <v>435</v>
      </c>
      <c r="B43" s="4" t="s">
        <v>82</v>
      </c>
      <c r="C43" s="4" t="s">
        <v>21</v>
      </c>
      <c r="D43" s="4" t="s">
        <v>83</v>
      </c>
      <c r="E43" s="5" t="n">
        <v>40</v>
      </c>
      <c r="F43" s="5" t="n">
        <v>20</v>
      </c>
      <c r="G43" s="5" t="n">
        <v>5</v>
      </c>
      <c r="H43" s="6" t="n">
        <f aca="false">IF(AND(F43="",G43=""),0,SUM(F43:G43))</f>
        <v>25</v>
      </c>
      <c r="I43" s="5" t="n">
        <f aca="false">IF(E43="","",E43/5)</f>
        <v>8</v>
      </c>
      <c r="J43" s="7"/>
      <c r="K43" s="5" t="n">
        <f aca="false">IF(I43="","",IF(J43="",H43,J43)*I43)</f>
        <v>200</v>
      </c>
      <c r="L43" s="12" t="n">
        <v>272</v>
      </c>
      <c r="M43" s="12" t="n">
        <f aca="false">IF(K43="","",K43-L43)</f>
        <v>-72</v>
      </c>
      <c r="N43" s="4"/>
    </row>
    <row r="44" customFormat="false" ht="15" hidden="false" customHeight="false" outlineLevel="0" collapsed="false">
      <c r="A44" s="4" t="n">
        <v>440</v>
      </c>
      <c r="B44" s="4" t="s">
        <v>84</v>
      </c>
      <c r="C44" s="4" t="s">
        <v>21</v>
      </c>
      <c r="D44" s="4" t="s">
        <v>42</v>
      </c>
      <c r="E44" s="5" t="n">
        <v>40</v>
      </c>
      <c r="F44" s="5" t="n">
        <v>20</v>
      </c>
      <c r="G44" s="5" t="n">
        <v>5</v>
      </c>
      <c r="H44" s="6" t="n">
        <f aca="false">IF(AND(F44="",G44=""),0,SUM(F44:G44))</f>
        <v>25</v>
      </c>
      <c r="I44" s="5" t="n">
        <f aca="false">IF(E44="","",E44/5)</f>
        <v>8</v>
      </c>
      <c r="J44" s="7"/>
      <c r="K44" s="5" t="n">
        <f aca="false">IF(I44="","",IF(J44="",H44,J44)*I44)</f>
        <v>200</v>
      </c>
      <c r="L44" s="5" t="n">
        <v>64</v>
      </c>
      <c r="M44" s="5" t="n">
        <f aca="false">IF(K44="","",K44-L44)</f>
        <v>136</v>
      </c>
      <c r="N44" s="4"/>
    </row>
    <row r="45" customFormat="false" ht="15" hidden="false" customHeight="false" outlineLevel="0" collapsed="false">
      <c r="A45" s="4" t="n">
        <v>442</v>
      </c>
      <c r="B45" s="4" t="s">
        <v>85</v>
      </c>
      <c r="C45" s="4" t="s">
        <v>21</v>
      </c>
      <c r="D45" s="4" t="s">
        <v>42</v>
      </c>
      <c r="E45" s="5" t="n">
        <v>40</v>
      </c>
      <c r="F45" s="5" t="n">
        <v>20</v>
      </c>
      <c r="G45" s="5" t="n">
        <v>5</v>
      </c>
      <c r="H45" s="6" t="n">
        <f aca="false">IF(AND(F45="",G45=""),0,SUM(F45:G45))</f>
        <v>25</v>
      </c>
      <c r="I45" s="5" t="n">
        <f aca="false">IF(E45="","",E45/5)</f>
        <v>8</v>
      </c>
      <c r="J45" s="7"/>
      <c r="K45" s="5" t="n">
        <f aca="false">IF(I45="","",IF(J45="",H45,J45)*I45)</f>
        <v>200</v>
      </c>
      <c r="L45" s="5" t="n">
        <v>32</v>
      </c>
      <c r="M45" s="5" t="n">
        <f aca="false">IF(K45="","",K45-L45)</f>
        <v>168</v>
      </c>
      <c r="N45" s="4"/>
    </row>
    <row r="46" customFormat="false" ht="15" hidden="false" customHeight="false" outlineLevel="0" collapsed="false">
      <c r="A46" s="4" t="n">
        <v>456</v>
      </c>
      <c r="B46" s="4" t="s">
        <v>86</v>
      </c>
      <c r="C46" s="4" t="s">
        <v>21</v>
      </c>
      <c r="D46" s="4" t="s">
        <v>87</v>
      </c>
      <c r="E46" s="5" t="n">
        <v>40</v>
      </c>
      <c r="F46" s="5" t="n">
        <v>20</v>
      </c>
      <c r="G46" s="5" t="n">
        <v>5</v>
      </c>
      <c r="H46" s="6" t="n">
        <f aca="false">IF(AND(F46="",G46=""),0,SUM(F46:G46))</f>
        <v>25</v>
      </c>
      <c r="I46" s="5" t="n">
        <f aca="false">IF(E46="","",E46/5)</f>
        <v>8</v>
      </c>
      <c r="J46" s="7"/>
      <c r="K46" s="5" t="n">
        <f aca="false">IF(I46="","",IF(J46="",H46,J46)*I46)</f>
        <v>200</v>
      </c>
      <c r="L46" s="12" t="n">
        <v>280</v>
      </c>
      <c r="M46" s="12" t="n">
        <f aca="false">IF(K46="","",K46-L46)</f>
        <v>-80</v>
      </c>
      <c r="N46" s="4"/>
    </row>
    <row r="47" customFormat="false" ht="15" hidden="false" customHeight="false" outlineLevel="0" collapsed="false">
      <c r="A47" s="4" t="n">
        <v>464</v>
      </c>
      <c r="B47" s="4" t="s">
        <v>88</v>
      </c>
      <c r="C47" s="4" t="s">
        <v>18</v>
      </c>
      <c r="D47" s="4" t="s">
        <v>45</v>
      </c>
      <c r="E47" s="5" t="n">
        <v>40</v>
      </c>
      <c r="F47" s="5"/>
      <c r="G47" s="5"/>
      <c r="H47" s="6" t="n">
        <f aca="false">IF(AND(F47="",G47=""),0,SUM(F47:G47))</f>
        <v>0</v>
      </c>
      <c r="I47" s="5" t="n">
        <f aca="false">IF(E47="","",E47/5)</f>
        <v>8</v>
      </c>
      <c r="J47" s="7"/>
      <c r="K47" s="5" t="n">
        <f aca="false">IF(I47="","",IF(J47="",H47,J47)*I47)</f>
        <v>0</v>
      </c>
      <c r="L47" s="5" t="n">
        <v>0</v>
      </c>
      <c r="M47" s="5" t="n">
        <f aca="false">IF(K47="","",K47-L47)</f>
        <v>0</v>
      </c>
      <c r="N47" s="4"/>
    </row>
    <row r="48" customFormat="false" ht="15" hidden="false" customHeight="false" outlineLevel="0" collapsed="false">
      <c r="A48" s="4" t="n">
        <v>465</v>
      </c>
      <c r="B48" s="4" t="s">
        <v>89</v>
      </c>
      <c r="C48" s="4" t="s">
        <v>21</v>
      </c>
      <c r="D48" s="4" t="s">
        <v>90</v>
      </c>
      <c r="E48" s="5" t="n">
        <v>40</v>
      </c>
      <c r="F48" s="5" t="n">
        <v>20</v>
      </c>
      <c r="G48" s="5" t="n">
        <v>5</v>
      </c>
      <c r="H48" s="6" t="n">
        <f aca="false">IF(AND(F48="",G48=""),0,SUM(F48:G48))</f>
        <v>25</v>
      </c>
      <c r="I48" s="5" t="n">
        <f aca="false">IF(E48="","",E48/5)</f>
        <v>8</v>
      </c>
      <c r="J48" s="7"/>
      <c r="K48" s="5" t="n">
        <f aca="false">IF(I48="","",IF(J48="",H48,J48)*I48)</f>
        <v>200</v>
      </c>
      <c r="L48" s="12" t="n">
        <v>228</v>
      </c>
      <c r="M48" s="12" t="n">
        <f aca="false">IF(K48="","",K48-L48)</f>
        <v>-28</v>
      </c>
      <c r="N48" s="4"/>
    </row>
    <row r="49" customFormat="false" ht="15" hidden="false" customHeight="false" outlineLevel="0" collapsed="false">
      <c r="A49" s="4" t="n">
        <v>472</v>
      </c>
      <c r="B49" s="4" t="s">
        <v>91</v>
      </c>
      <c r="C49" s="4" t="s">
        <v>21</v>
      </c>
      <c r="D49" s="4" t="s">
        <v>90</v>
      </c>
      <c r="E49" s="5" t="n">
        <v>40</v>
      </c>
      <c r="F49" s="5" t="n">
        <v>20</v>
      </c>
      <c r="G49" s="5" t="n">
        <v>5</v>
      </c>
      <c r="H49" s="6" t="n">
        <f aca="false">IF(AND(F49="",G49=""),0,SUM(F49:G49))</f>
        <v>25</v>
      </c>
      <c r="I49" s="5" t="n">
        <f aca="false">IF(E49="","",E49/5)</f>
        <v>8</v>
      </c>
      <c r="J49" s="7"/>
      <c r="K49" s="5" t="n">
        <f aca="false">IF(I49="","",IF(J49="",H49,J49)*I49)</f>
        <v>200</v>
      </c>
      <c r="L49" s="5" t="n">
        <v>152</v>
      </c>
      <c r="M49" s="5" t="n">
        <f aca="false">IF(K49="","",K49-L49)</f>
        <v>48</v>
      </c>
      <c r="N49" s="4"/>
    </row>
    <row r="50" customFormat="false" ht="15" hidden="false" customHeight="false" outlineLevel="0" collapsed="false">
      <c r="A50" s="4" t="n">
        <v>474</v>
      </c>
      <c r="B50" s="4" t="s">
        <v>92</v>
      </c>
      <c r="C50" s="4" t="s">
        <v>21</v>
      </c>
      <c r="D50" s="4" t="s">
        <v>93</v>
      </c>
      <c r="E50" s="5" t="n">
        <v>40</v>
      </c>
      <c r="F50" s="5" t="n">
        <v>20</v>
      </c>
      <c r="G50" s="5" t="n">
        <v>5</v>
      </c>
      <c r="H50" s="6" t="n">
        <f aca="false">IF(AND(F50="",G50=""),0,SUM(F50:G50))</f>
        <v>25</v>
      </c>
      <c r="I50" s="5" t="n">
        <f aca="false">IF(E50="","",E50/5)</f>
        <v>8</v>
      </c>
      <c r="J50" s="7"/>
      <c r="K50" s="5" t="n">
        <f aca="false">IF(I50="","",IF(J50="",H50,J50)*I50)</f>
        <v>200</v>
      </c>
      <c r="L50" s="5" t="n">
        <v>48</v>
      </c>
      <c r="M50" s="5" t="n">
        <f aca="false">IF(K50="","",K50-L50)</f>
        <v>152</v>
      </c>
      <c r="N50" s="4"/>
    </row>
    <row r="51" customFormat="false" ht="15" hidden="false" customHeight="false" outlineLevel="0" collapsed="false">
      <c r="A51" s="8" t="n">
        <v>475</v>
      </c>
      <c r="B51" s="8" t="s">
        <v>94</v>
      </c>
      <c r="C51" s="8" t="s">
        <v>21</v>
      </c>
      <c r="D51" s="8" t="s">
        <v>95</v>
      </c>
      <c r="E51" s="9" t="n">
        <v>32</v>
      </c>
      <c r="F51" s="9" t="n">
        <v>20</v>
      </c>
      <c r="G51" s="9"/>
      <c r="H51" s="10" t="n">
        <f aca="false">IF(AND(F51="",G51=""),0,SUM(F51:G51))</f>
        <v>20</v>
      </c>
      <c r="I51" s="5" t="n">
        <f aca="false">IF(E51="","",E51/5)</f>
        <v>6.4</v>
      </c>
      <c r="J51" s="7"/>
      <c r="K51" s="5" t="n">
        <f aca="false">IF(I51="","",IF(J51="",H51,J51)*I51)</f>
        <v>128</v>
      </c>
      <c r="L51" s="5" t="n">
        <v>48.2</v>
      </c>
      <c r="M51" s="5" t="n">
        <f aca="false">IF(K51="","",K51-L51)</f>
        <v>79.8</v>
      </c>
      <c r="N51" s="11" t="s">
        <v>69</v>
      </c>
    </row>
    <row r="52" customFormat="false" ht="15" hidden="false" customHeight="false" outlineLevel="0" collapsed="false">
      <c r="A52" s="4" t="n">
        <v>476</v>
      </c>
      <c r="B52" s="4" t="s">
        <v>96</v>
      </c>
      <c r="C52" s="4" t="s">
        <v>21</v>
      </c>
      <c r="D52" s="4" t="s">
        <v>97</v>
      </c>
      <c r="E52" s="5" t="n">
        <v>40</v>
      </c>
      <c r="F52" s="5" t="n">
        <v>20</v>
      </c>
      <c r="G52" s="5" t="n">
        <v>5</v>
      </c>
      <c r="H52" s="6" t="n">
        <f aca="false">IF(AND(F52="",G52=""),0,SUM(F52:G52))</f>
        <v>25</v>
      </c>
      <c r="I52" s="5" t="n">
        <f aca="false">IF(E52="","",E52/5)</f>
        <v>8</v>
      </c>
      <c r="J52" s="7"/>
      <c r="K52" s="5" t="n">
        <f aca="false">IF(I52="","",IF(J52="",H52,J52)*I52)</f>
        <v>200</v>
      </c>
      <c r="L52" s="12" t="n">
        <v>204</v>
      </c>
      <c r="M52" s="12" t="n">
        <f aca="false">IF(K52="","",K52-L52)</f>
        <v>-4</v>
      </c>
      <c r="N52" s="4"/>
    </row>
    <row r="53" customFormat="false" ht="15" hidden="false" customHeight="false" outlineLevel="0" collapsed="false">
      <c r="A53" s="4" t="n">
        <v>483</v>
      </c>
      <c r="B53" s="4" t="s">
        <v>98</v>
      </c>
      <c r="C53" s="4" t="s">
        <v>21</v>
      </c>
      <c r="D53" s="4" t="s">
        <v>99</v>
      </c>
      <c r="E53" s="5" t="n">
        <v>40</v>
      </c>
      <c r="F53" s="5" t="n">
        <v>20</v>
      </c>
      <c r="G53" s="5" t="n">
        <v>5</v>
      </c>
      <c r="H53" s="6" t="n">
        <f aca="false">IF(AND(F53="",G53=""),0,SUM(F53:G53))</f>
        <v>25</v>
      </c>
      <c r="I53" s="5" t="n">
        <f aca="false">IF(E53="","",E53/5)</f>
        <v>8</v>
      </c>
      <c r="J53" s="7"/>
      <c r="K53" s="5" t="n">
        <f aca="false">IF(I53="","",IF(J53="",H53,J53)*I53)</f>
        <v>200</v>
      </c>
      <c r="L53" s="5" t="n">
        <v>136</v>
      </c>
      <c r="M53" s="5" t="n">
        <f aca="false">IF(K53="","",K53-L53)</f>
        <v>64</v>
      </c>
      <c r="N53" s="4"/>
    </row>
    <row r="54" customFormat="false" ht="15" hidden="false" customHeight="false" outlineLevel="0" collapsed="false">
      <c r="A54" s="4" t="n">
        <v>486</v>
      </c>
      <c r="B54" s="4" t="s">
        <v>100</v>
      </c>
      <c r="C54" s="4" t="s">
        <v>21</v>
      </c>
      <c r="D54" s="4" t="s">
        <v>101</v>
      </c>
      <c r="E54" s="5" t="n">
        <v>40</v>
      </c>
      <c r="F54" s="5" t="n">
        <v>20</v>
      </c>
      <c r="G54" s="5" t="n">
        <v>5</v>
      </c>
      <c r="H54" s="6" t="n">
        <f aca="false">IF(AND(F54="",G54=""),0,SUM(F54:G54))</f>
        <v>25</v>
      </c>
      <c r="I54" s="5" t="n">
        <f aca="false">IF(E54="","",E54/5)</f>
        <v>8</v>
      </c>
      <c r="J54" s="7"/>
      <c r="K54" s="5" t="n">
        <f aca="false">IF(I54="","",IF(J54="",H54,J54)*I54)</f>
        <v>200</v>
      </c>
      <c r="L54" s="12" t="n">
        <v>260</v>
      </c>
      <c r="M54" s="12" t="n">
        <f aca="false">IF(K54="","",K54-L54)</f>
        <v>-60</v>
      </c>
      <c r="N54" s="4"/>
    </row>
    <row r="55" customFormat="false" ht="15" hidden="false" customHeight="false" outlineLevel="0" collapsed="false">
      <c r="A55" s="4" t="n">
        <v>488</v>
      </c>
      <c r="B55" s="4" t="s">
        <v>102</v>
      </c>
      <c r="C55" s="4" t="s">
        <v>21</v>
      </c>
      <c r="D55" s="4" t="s">
        <v>103</v>
      </c>
      <c r="E55" s="5" t="n">
        <v>40</v>
      </c>
      <c r="F55" s="5" t="n">
        <v>20</v>
      </c>
      <c r="G55" s="5" t="n">
        <v>5</v>
      </c>
      <c r="H55" s="6" t="n">
        <f aca="false">IF(AND(F55="",G55=""),0,SUM(F55:G55))</f>
        <v>25</v>
      </c>
      <c r="I55" s="5" t="n">
        <f aca="false">IF(E55="","",E55/5)</f>
        <v>8</v>
      </c>
      <c r="J55" s="7"/>
      <c r="K55" s="5" t="n">
        <f aca="false">IF(I55="","",IF(J55="",H55,J55)*I55)</f>
        <v>200</v>
      </c>
      <c r="L55" s="5" t="n">
        <v>156</v>
      </c>
      <c r="M55" s="5" t="n">
        <f aca="false">IF(K55="","",K55-L55)</f>
        <v>44</v>
      </c>
      <c r="N55" s="4"/>
    </row>
    <row r="56" customFormat="false" ht="15" hidden="false" customHeight="false" outlineLevel="0" collapsed="false">
      <c r="A56" s="4" t="n">
        <v>489</v>
      </c>
      <c r="B56" s="4" t="s">
        <v>104</v>
      </c>
      <c r="C56" s="4" t="s">
        <v>21</v>
      </c>
      <c r="D56" s="4" t="s">
        <v>103</v>
      </c>
      <c r="E56" s="5" t="n">
        <v>40</v>
      </c>
      <c r="F56" s="5" t="n">
        <v>20</v>
      </c>
      <c r="G56" s="5" t="n">
        <v>5</v>
      </c>
      <c r="H56" s="6" t="n">
        <f aca="false">IF(AND(F56="",G56=""),0,SUM(F56:G56))</f>
        <v>25</v>
      </c>
      <c r="I56" s="5" t="n">
        <f aca="false">IF(E56="","",E56/5)</f>
        <v>8</v>
      </c>
      <c r="J56" s="7"/>
      <c r="K56" s="5" t="n">
        <f aca="false">IF(I56="","",IF(J56="",H56,J56)*I56)</f>
        <v>200</v>
      </c>
      <c r="L56" s="5" t="n">
        <v>40</v>
      </c>
      <c r="M56" s="5" t="n">
        <f aca="false">IF(K56="","",K56-L56)</f>
        <v>160</v>
      </c>
      <c r="N56" s="4"/>
    </row>
    <row r="57" customFormat="false" ht="15" hidden="false" customHeight="false" outlineLevel="0" collapsed="false">
      <c r="A57" s="4" t="n">
        <v>493</v>
      </c>
      <c r="B57" s="4" t="s">
        <v>105</v>
      </c>
      <c r="C57" s="4" t="s">
        <v>21</v>
      </c>
      <c r="D57" s="4" t="s">
        <v>39</v>
      </c>
      <c r="E57" s="5" t="n">
        <v>40</v>
      </c>
      <c r="F57" s="5" t="n">
        <v>20</v>
      </c>
      <c r="G57" s="5" t="n">
        <v>5</v>
      </c>
      <c r="H57" s="6" t="n">
        <f aca="false">IF(AND(F57="",G57=""),0,SUM(F57:G57))</f>
        <v>25</v>
      </c>
      <c r="I57" s="5" t="n">
        <f aca="false">IF(E57="","",E57/5)</f>
        <v>8</v>
      </c>
      <c r="J57" s="7"/>
      <c r="K57" s="5" t="n">
        <f aca="false">IF(I57="","",IF(J57="",H57,J57)*I57)</f>
        <v>200</v>
      </c>
      <c r="L57" s="5" t="n">
        <v>188</v>
      </c>
      <c r="M57" s="5" t="n">
        <f aca="false">IF(K57="","",K57-L57)</f>
        <v>12</v>
      </c>
      <c r="N57" s="4"/>
    </row>
    <row r="58" customFormat="false" ht="15" hidden="false" customHeight="false" outlineLevel="0" collapsed="false">
      <c r="A58" s="4" t="n">
        <v>494</v>
      </c>
      <c r="B58" s="4" t="s">
        <v>106</v>
      </c>
      <c r="C58" s="4" t="s">
        <v>21</v>
      </c>
      <c r="D58" s="4" t="s">
        <v>47</v>
      </c>
      <c r="E58" s="5" t="n">
        <v>40</v>
      </c>
      <c r="F58" s="5" t="n">
        <v>20</v>
      </c>
      <c r="G58" s="5" t="n">
        <v>5</v>
      </c>
      <c r="H58" s="6" t="n">
        <f aca="false">IF(AND(F58="",G58=""),0,SUM(F58:G58))</f>
        <v>25</v>
      </c>
      <c r="I58" s="5" t="n">
        <f aca="false">IF(E58="","",E58/5)</f>
        <v>8</v>
      </c>
      <c r="J58" s="7"/>
      <c r="K58" s="5" t="n">
        <f aca="false">IF(I58="","",IF(J58="",H58,J58)*I58)</f>
        <v>200</v>
      </c>
      <c r="L58" s="12" t="n">
        <v>248</v>
      </c>
      <c r="M58" s="12" t="n">
        <f aca="false">IF(K58="","",K58-L58)</f>
        <v>-48</v>
      </c>
      <c r="N58" s="4"/>
    </row>
    <row r="59" customFormat="false" ht="15" hidden="false" customHeight="false" outlineLevel="0" collapsed="false">
      <c r="A59" s="4" t="n">
        <v>496</v>
      </c>
      <c r="B59" s="4" t="s">
        <v>107</v>
      </c>
      <c r="C59" s="4" t="s">
        <v>21</v>
      </c>
      <c r="D59" s="4" t="s">
        <v>108</v>
      </c>
      <c r="E59" s="5" t="n">
        <v>40</v>
      </c>
      <c r="F59" s="5" t="n">
        <v>20</v>
      </c>
      <c r="G59" s="5" t="n">
        <v>5</v>
      </c>
      <c r="H59" s="6" t="n">
        <f aca="false">IF(AND(F59="",G59=""),0,SUM(F59:G59))</f>
        <v>25</v>
      </c>
      <c r="I59" s="5" t="n">
        <f aca="false">IF(E59="","",E59/5)</f>
        <v>8</v>
      </c>
      <c r="J59" s="7"/>
      <c r="K59" s="5" t="n">
        <f aca="false">IF(I59="","",IF(J59="",H59,J59)*I59)</f>
        <v>200</v>
      </c>
      <c r="L59" s="5" t="n">
        <v>80</v>
      </c>
      <c r="M59" s="5" t="n">
        <f aca="false">IF(K59="","",K59-L59)</f>
        <v>120</v>
      </c>
      <c r="N59" s="4"/>
    </row>
    <row r="60" customFormat="false" ht="15" hidden="false" customHeight="false" outlineLevel="0" collapsed="false">
      <c r="A60" s="4" t="n">
        <v>498</v>
      </c>
      <c r="B60" s="4" t="s">
        <v>109</v>
      </c>
      <c r="C60" s="4" t="s">
        <v>21</v>
      </c>
      <c r="D60" s="4" t="s">
        <v>110</v>
      </c>
      <c r="E60" s="5" t="n">
        <v>40</v>
      </c>
      <c r="F60" s="5" t="n">
        <v>20</v>
      </c>
      <c r="G60" s="5" t="n">
        <v>5</v>
      </c>
      <c r="H60" s="6" t="n">
        <f aca="false">IF(AND(F60="",G60=""),0,SUM(F60:G60))</f>
        <v>25</v>
      </c>
      <c r="I60" s="5" t="n">
        <f aca="false">IF(E60="","",E60/5)</f>
        <v>8</v>
      </c>
      <c r="J60" s="7"/>
      <c r="K60" s="5" t="n">
        <f aca="false">IF(I60="","",IF(J60="",H60,J60)*I60)</f>
        <v>200</v>
      </c>
      <c r="L60" s="5" t="n">
        <v>192</v>
      </c>
      <c r="M60" s="5" t="n">
        <f aca="false">IF(K60="","",K60-L60)</f>
        <v>8</v>
      </c>
      <c r="N60" s="4"/>
    </row>
    <row r="61" customFormat="false" ht="15" hidden="false" customHeight="false" outlineLevel="0" collapsed="false">
      <c r="A61" s="4" t="n">
        <v>501</v>
      </c>
      <c r="B61" s="4" t="s">
        <v>111</v>
      </c>
      <c r="C61" s="4" t="s">
        <v>21</v>
      </c>
      <c r="D61" s="4" t="s">
        <v>112</v>
      </c>
      <c r="E61" s="5" t="n">
        <v>40</v>
      </c>
      <c r="F61" s="5" t="n">
        <v>20</v>
      </c>
      <c r="G61" s="5" t="n">
        <v>5</v>
      </c>
      <c r="H61" s="6" t="n">
        <f aca="false">IF(AND(F61="",G61=""),0,SUM(F61:G61))</f>
        <v>25</v>
      </c>
      <c r="I61" s="5" t="n">
        <f aca="false">IF(E61="","",E61/5)</f>
        <v>8</v>
      </c>
      <c r="J61" s="7"/>
      <c r="K61" s="5" t="n">
        <f aca="false">IF(I61="","",IF(J61="",H61,J61)*I61)</f>
        <v>200</v>
      </c>
      <c r="L61" s="5" t="n">
        <v>104</v>
      </c>
      <c r="M61" s="5" t="n">
        <f aca="false">IF(K61="","",K61-L61)</f>
        <v>96</v>
      </c>
      <c r="N61" s="4"/>
    </row>
    <row r="62" customFormat="false" ht="15" hidden="false" customHeight="false" outlineLevel="0" collapsed="false">
      <c r="A62" s="4" t="n">
        <v>502</v>
      </c>
      <c r="B62" s="4" t="s">
        <v>113</v>
      </c>
      <c r="C62" s="4" t="s">
        <v>21</v>
      </c>
      <c r="D62" s="4" t="s">
        <v>108</v>
      </c>
      <c r="E62" s="5" t="n">
        <v>40</v>
      </c>
      <c r="F62" s="5" t="n">
        <v>20</v>
      </c>
      <c r="G62" s="5" t="n">
        <v>5</v>
      </c>
      <c r="H62" s="6" t="n">
        <f aca="false">IF(AND(F62="",G62=""),0,SUM(F62:G62))</f>
        <v>25</v>
      </c>
      <c r="I62" s="5" t="n">
        <f aca="false">IF(E62="","",E62/5)</f>
        <v>8</v>
      </c>
      <c r="J62" s="7"/>
      <c r="K62" s="5" t="n">
        <f aca="false">IF(I62="","",IF(J62="",H62,J62)*I62)</f>
        <v>200</v>
      </c>
      <c r="L62" s="5" t="n">
        <v>192</v>
      </c>
      <c r="M62" s="5" t="n">
        <f aca="false">IF(K62="","",K62-L62)</f>
        <v>8</v>
      </c>
      <c r="N62" s="4"/>
    </row>
    <row r="63" customFormat="false" ht="15" hidden="false" customHeight="false" outlineLevel="0" collapsed="false">
      <c r="A63" s="4" t="n">
        <v>515</v>
      </c>
      <c r="B63" s="4" t="s">
        <v>114</v>
      </c>
      <c r="C63" s="4" t="s">
        <v>21</v>
      </c>
      <c r="D63" s="4" t="s">
        <v>115</v>
      </c>
      <c r="E63" s="5" t="n">
        <v>40</v>
      </c>
      <c r="F63" s="5" t="n">
        <v>20</v>
      </c>
      <c r="G63" s="5" t="n">
        <v>5</v>
      </c>
      <c r="H63" s="6" t="n">
        <f aca="false">IF(AND(F63="",G63=""),0,SUM(F63:G63))</f>
        <v>25</v>
      </c>
      <c r="I63" s="5" t="n">
        <f aca="false">IF(E63="","",E63/5)</f>
        <v>8</v>
      </c>
      <c r="J63" s="7"/>
      <c r="K63" s="5" t="n">
        <f aca="false">IF(I63="","",IF(J63="",H63,J63)*I63)</f>
        <v>200</v>
      </c>
      <c r="L63" s="5" t="n">
        <v>184</v>
      </c>
      <c r="M63" s="5" t="n">
        <f aca="false">IF(K63="","",K63-L63)</f>
        <v>16</v>
      </c>
      <c r="N63" s="4"/>
    </row>
    <row r="64" customFormat="false" ht="15" hidden="false" customHeight="false" outlineLevel="0" collapsed="false">
      <c r="A64" s="4" t="n">
        <v>517</v>
      </c>
      <c r="B64" s="4" t="s">
        <v>116</v>
      </c>
      <c r="C64" s="4" t="s">
        <v>21</v>
      </c>
      <c r="D64" s="4" t="s">
        <v>110</v>
      </c>
      <c r="E64" s="5" t="n">
        <v>40</v>
      </c>
      <c r="F64" s="5" t="n">
        <v>20</v>
      </c>
      <c r="G64" s="5" t="n">
        <v>5</v>
      </c>
      <c r="H64" s="6" t="n">
        <f aca="false">IF(AND(F64="",G64=""),0,SUM(F64:G64))</f>
        <v>25</v>
      </c>
      <c r="I64" s="5" t="n">
        <f aca="false">IF(E64="","",E64/5)</f>
        <v>8</v>
      </c>
      <c r="J64" s="7"/>
      <c r="K64" s="5" t="n">
        <f aca="false">IF(I64="","",IF(J64="",H64,J64)*I64)</f>
        <v>200</v>
      </c>
      <c r="L64" s="5" t="n">
        <v>124</v>
      </c>
      <c r="M64" s="5" t="n">
        <f aca="false">IF(K64="","",K64-L64)</f>
        <v>76</v>
      </c>
      <c r="N64" s="4"/>
    </row>
    <row r="65" customFormat="false" ht="15" hidden="false" customHeight="false" outlineLevel="0" collapsed="false">
      <c r="A65" s="4" t="n">
        <v>522</v>
      </c>
      <c r="B65" s="4" t="s">
        <v>117</v>
      </c>
      <c r="C65" s="4" t="s">
        <v>21</v>
      </c>
      <c r="D65" s="4" t="s">
        <v>118</v>
      </c>
      <c r="E65" s="5" t="n">
        <v>40</v>
      </c>
      <c r="F65" s="5" t="n">
        <v>20</v>
      </c>
      <c r="G65" s="5" t="n">
        <v>5</v>
      </c>
      <c r="H65" s="6" t="n">
        <f aca="false">IF(AND(F65="",G65=""),0,SUM(F65:G65))</f>
        <v>25</v>
      </c>
      <c r="I65" s="5" t="n">
        <f aca="false">IF(E65="","",E65/5)</f>
        <v>8</v>
      </c>
      <c r="J65" s="7"/>
      <c r="K65" s="5" t="n">
        <f aca="false">IF(I65="","",IF(J65="",H65,J65)*I65)</f>
        <v>200</v>
      </c>
      <c r="L65" s="12" t="n">
        <v>256</v>
      </c>
      <c r="M65" s="12" t="n">
        <f aca="false">IF(K65="","",K65-L65)</f>
        <v>-56</v>
      </c>
      <c r="N65" s="4"/>
    </row>
    <row r="66" customFormat="false" ht="15" hidden="false" customHeight="false" outlineLevel="0" collapsed="false">
      <c r="A66" s="4" t="n">
        <v>525</v>
      </c>
      <c r="B66" s="4" t="s">
        <v>119</v>
      </c>
      <c r="C66" s="4" t="s">
        <v>76</v>
      </c>
      <c r="D66" s="4" t="s">
        <v>120</v>
      </c>
      <c r="E66" s="5"/>
      <c r="F66" s="5"/>
      <c r="G66" s="5"/>
      <c r="H66" s="6" t="n">
        <f aca="false">IF(AND(F66="",G66=""),0,SUM(F66:G66))</f>
        <v>0</v>
      </c>
      <c r="I66" s="5" t="str">
        <f aca="false">IF(E66="","",E66/5)</f>
        <v/>
      </c>
      <c r="J66" s="7"/>
      <c r="K66" s="5" t="str">
        <f aca="false">IF(I66="","",IF(J66="",H66,J66)*I66)</f>
        <v/>
      </c>
      <c r="L66" s="5" t="n">
        <v>0</v>
      </c>
      <c r="M66" s="5" t="str">
        <f aca="false">IF(K66="","",K66-L66)</f>
        <v/>
      </c>
      <c r="N66" s="4"/>
    </row>
    <row r="67" customFormat="false" ht="15" hidden="false" customHeight="false" outlineLevel="0" collapsed="false">
      <c r="A67" s="4" t="n">
        <v>532</v>
      </c>
      <c r="B67" s="4" t="s">
        <v>121</v>
      </c>
      <c r="C67" s="4" t="s">
        <v>21</v>
      </c>
      <c r="D67" s="4" t="s">
        <v>122</v>
      </c>
      <c r="E67" s="5" t="n">
        <v>40</v>
      </c>
      <c r="F67" s="5" t="n">
        <v>20</v>
      </c>
      <c r="G67" s="5" t="n">
        <v>5</v>
      </c>
      <c r="H67" s="6" t="n">
        <f aca="false">IF(AND(F67="",G67=""),0,SUM(F67:G67))</f>
        <v>25</v>
      </c>
      <c r="I67" s="5" t="n">
        <f aca="false">IF(E67="","",E67/5)</f>
        <v>8</v>
      </c>
      <c r="J67" s="7"/>
      <c r="K67" s="5" t="n">
        <f aca="false">IF(I67="","",IF(J67="",H67,J67)*I67)</f>
        <v>200</v>
      </c>
      <c r="L67" s="5" t="n">
        <v>184</v>
      </c>
      <c r="M67" s="5" t="n">
        <f aca="false">IF(K67="","",K67-L67)</f>
        <v>16</v>
      </c>
      <c r="N67" s="4"/>
    </row>
    <row r="68" customFormat="false" ht="15" hidden="false" customHeight="false" outlineLevel="0" collapsed="false">
      <c r="A68" s="4" t="n">
        <v>533</v>
      </c>
      <c r="B68" s="4" t="s">
        <v>123</v>
      </c>
      <c r="C68" s="4" t="s">
        <v>21</v>
      </c>
      <c r="D68" s="4" t="s">
        <v>124</v>
      </c>
      <c r="E68" s="5" t="n">
        <v>40</v>
      </c>
      <c r="F68" s="5" t="n">
        <v>20</v>
      </c>
      <c r="G68" s="5" t="n">
        <v>5</v>
      </c>
      <c r="H68" s="6" t="n">
        <f aca="false">IF(AND(F68="",G68=""),0,SUM(F68:G68))</f>
        <v>25</v>
      </c>
      <c r="I68" s="5" t="n">
        <f aca="false">IF(E68="","",E68/5)</f>
        <v>8</v>
      </c>
      <c r="J68" s="7"/>
      <c r="K68" s="5" t="n">
        <f aca="false">IF(I68="","",IF(J68="",H68,J68)*I68)</f>
        <v>200</v>
      </c>
      <c r="L68" s="5" t="n">
        <v>140</v>
      </c>
      <c r="M68" s="5" t="n">
        <f aca="false">IF(K68="","",K68-L68)</f>
        <v>60</v>
      </c>
      <c r="N68" s="4"/>
    </row>
    <row r="69" customFormat="false" ht="15" hidden="false" customHeight="false" outlineLevel="0" collapsed="false">
      <c r="A69" s="4" t="n">
        <v>536</v>
      </c>
      <c r="B69" s="4" t="s">
        <v>125</v>
      </c>
      <c r="C69" s="4" t="s">
        <v>21</v>
      </c>
      <c r="D69" s="4" t="s">
        <v>126</v>
      </c>
      <c r="E69" s="5" t="n">
        <v>40</v>
      </c>
      <c r="F69" s="5" t="n">
        <v>20</v>
      </c>
      <c r="G69" s="5" t="n">
        <v>5</v>
      </c>
      <c r="H69" s="6" t="n">
        <f aca="false">IF(AND(F69="",G69=""),0,SUM(F69:G69))</f>
        <v>25</v>
      </c>
      <c r="I69" s="5" t="n">
        <f aca="false">IF(E69="","",E69/5)</f>
        <v>8</v>
      </c>
      <c r="J69" s="7"/>
      <c r="K69" s="5" t="n">
        <f aca="false">IF(I69="","",IF(J69="",H69,J69)*I69)</f>
        <v>200</v>
      </c>
      <c r="L69" s="5" t="n">
        <v>64</v>
      </c>
      <c r="M69" s="5" t="n">
        <f aca="false">IF(K69="","",K69-L69)</f>
        <v>136</v>
      </c>
      <c r="N69" s="4"/>
    </row>
    <row r="70" customFormat="false" ht="15" hidden="false" customHeight="false" outlineLevel="0" collapsed="false">
      <c r="A70" s="4" t="n">
        <v>9001</v>
      </c>
      <c r="B70" s="4" t="s">
        <v>28</v>
      </c>
      <c r="C70" s="4" t="s">
        <v>18</v>
      </c>
      <c r="D70" s="4" t="s">
        <v>127</v>
      </c>
      <c r="E70" s="5" t="n">
        <v>40</v>
      </c>
      <c r="F70" s="5"/>
      <c r="G70" s="5"/>
      <c r="H70" s="6" t="n">
        <f aca="false">IF(AND(F70="",G70=""),0,SUM(F70:G70))</f>
        <v>0</v>
      </c>
      <c r="I70" s="5" t="n">
        <f aca="false">IF(E70="","",E70/5)</f>
        <v>8</v>
      </c>
      <c r="J70" s="7"/>
      <c r="K70" s="5" t="n">
        <f aca="false">IF(I70="","",IF(J70="",H70,J70)*I70)</f>
        <v>0</v>
      </c>
      <c r="L70" s="5" t="n">
        <v>0</v>
      </c>
      <c r="M70" s="5" t="n">
        <f aca="false">IF(K70="","",K70-L70)</f>
        <v>0</v>
      </c>
      <c r="N70" s="4"/>
    </row>
    <row r="71" customFormat="false" ht="15" hidden="false" customHeight="false" outlineLevel="0" collapsed="false">
      <c r="A71" s="4" t="n">
        <v>9003</v>
      </c>
      <c r="B71" s="4" t="s">
        <v>28</v>
      </c>
      <c r="C71" s="4" t="s">
        <v>18</v>
      </c>
      <c r="D71" s="4" t="s">
        <v>128</v>
      </c>
      <c r="E71" s="5" t="n">
        <v>40</v>
      </c>
      <c r="F71" s="5"/>
      <c r="G71" s="5"/>
      <c r="H71" s="6" t="n">
        <f aca="false">IF(AND(F71="",G71=""),0,SUM(F71:G71))</f>
        <v>0</v>
      </c>
      <c r="I71" s="5" t="n">
        <f aca="false">IF(E71="","",E71/5)</f>
        <v>8</v>
      </c>
      <c r="J71" s="7"/>
      <c r="K71" s="5" t="n">
        <f aca="false">IF(I71="","",IF(J71="",H71,J71)*I71)</f>
        <v>0</v>
      </c>
      <c r="L71" s="5" t="n">
        <v>0</v>
      </c>
      <c r="M71" s="5" t="n">
        <f aca="false">IF(K71="","",K71-L71)</f>
        <v>0</v>
      </c>
      <c r="N71" s="4"/>
    </row>
    <row r="72" customFormat="false" ht="15" hidden="false" customHeight="false" outlineLevel="0" collapsed="false">
      <c r="A72" s="4" t="n">
        <v>9004</v>
      </c>
      <c r="B72" s="4" t="s">
        <v>28</v>
      </c>
      <c r="C72" s="4" t="s">
        <v>18</v>
      </c>
      <c r="D72" s="4" t="s">
        <v>128</v>
      </c>
      <c r="E72" s="5" t="n">
        <v>40</v>
      </c>
      <c r="F72" s="5"/>
      <c r="G72" s="5"/>
      <c r="H72" s="6" t="n">
        <f aca="false">IF(AND(F72="",G72=""),0,SUM(F72:G72))</f>
        <v>0</v>
      </c>
      <c r="I72" s="5" t="n">
        <f aca="false">IF(E72="","",E72/5)</f>
        <v>8</v>
      </c>
      <c r="J72" s="7"/>
      <c r="K72" s="5" t="n">
        <f aca="false">IF(I72="","",IF(J72="",H72,J72)*I72)</f>
        <v>0</v>
      </c>
      <c r="L72" s="5" t="n">
        <v>0</v>
      </c>
      <c r="M72" s="5" t="n">
        <f aca="false">IF(K72="","",K72-L72)</f>
        <v>0</v>
      </c>
      <c r="N72" s="4"/>
    </row>
    <row r="73" customFormat="false" ht="15" hidden="false" customHeight="false" outlineLevel="0" collapsed="false">
      <c r="A73" s="4" t="n">
        <v>9005</v>
      </c>
      <c r="B73" s="4" t="s">
        <v>129</v>
      </c>
      <c r="C73" s="4" t="s">
        <v>18</v>
      </c>
      <c r="D73" s="4" t="s">
        <v>130</v>
      </c>
      <c r="E73" s="5" t="n">
        <v>40</v>
      </c>
      <c r="F73" s="5"/>
      <c r="G73" s="5"/>
      <c r="H73" s="6" t="n">
        <f aca="false">IF(AND(F73="",G73=""),0,SUM(F73:G73))</f>
        <v>0</v>
      </c>
      <c r="I73" s="5" t="n">
        <f aca="false">IF(E73="","",E73/5)</f>
        <v>8</v>
      </c>
      <c r="J73" s="7"/>
      <c r="K73" s="5" t="n">
        <f aca="false">IF(I73="","",IF(J73="",H73,J73)*I73)</f>
        <v>0</v>
      </c>
      <c r="L73" s="5" t="n">
        <v>0</v>
      </c>
      <c r="M73" s="5" t="n">
        <f aca="false">IF(K73="","",K73-L73)</f>
        <v>0</v>
      </c>
      <c r="N73" s="4"/>
    </row>
    <row r="74" customFormat="false" ht="15" hidden="false" customHeight="false" outlineLevel="0" collapsed="false">
      <c r="A74" s="4" t="n">
        <v>9007</v>
      </c>
      <c r="B74" s="4" t="s">
        <v>28</v>
      </c>
      <c r="C74" s="4" t="s">
        <v>18</v>
      </c>
      <c r="D74" s="4" t="s">
        <v>127</v>
      </c>
      <c r="E74" s="5" t="n">
        <v>40</v>
      </c>
      <c r="F74" s="5"/>
      <c r="G74" s="5"/>
      <c r="H74" s="6" t="n">
        <f aca="false">IF(AND(F74="",G74=""),0,SUM(F74:G74))</f>
        <v>0</v>
      </c>
      <c r="I74" s="5" t="n">
        <f aca="false">IF(E74="","",E74/5)</f>
        <v>8</v>
      </c>
      <c r="J74" s="7"/>
      <c r="K74" s="5" t="n">
        <f aca="false">IF(I74="","",IF(J74="",H74,J74)*I74)</f>
        <v>0</v>
      </c>
      <c r="L74" s="5" t="n">
        <v>0</v>
      </c>
      <c r="M74" s="5" t="n">
        <f aca="false">IF(K74="","",K74-L74)</f>
        <v>0</v>
      </c>
      <c r="N74" s="4"/>
    </row>
    <row r="75" customFormat="false" ht="15" hidden="false" customHeight="false" outlineLevel="0" collapsed="false">
      <c r="A75" s="4" t="n">
        <v>9010</v>
      </c>
      <c r="B75" s="4" t="s">
        <v>28</v>
      </c>
      <c r="C75" s="4" t="s">
        <v>18</v>
      </c>
      <c r="D75" s="4" t="s">
        <v>131</v>
      </c>
      <c r="E75" s="5" t="n">
        <v>40</v>
      </c>
      <c r="F75" s="5"/>
      <c r="G75" s="5"/>
      <c r="H75" s="6" t="n">
        <f aca="false">IF(AND(F75="",G75=""),0,SUM(F75:G75))</f>
        <v>0</v>
      </c>
      <c r="I75" s="5" t="n">
        <f aca="false">IF(E75="","",E75/5)</f>
        <v>8</v>
      </c>
      <c r="J75" s="7"/>
      <c r="K75" s="5" t="n">
        <f aca="false">IF(I75="","",IF(J75="",H75,J75)*I75)</f>
        <v>0</v>
      </c>
      <c r="L75" s="5" t="n">
        <v>0</v>
      </c>
      <c r="M75" s="5" t="n">
        <f aca="false">IF(K75="","",K75-L75)</f>
        <v>0</v>
      </c>
      <c r="N75" s="4"/>
    </row>
    <row r="76" customFormat="false" ht="15" hidden="false" customHeight="false" outlineLevel="0" collapsed="false">
      <c r="A76" s="4" t="n">
        <v>9017</v>
      </c>
      <c r="B76" s="4" t="s">
        <v>132</v>
      </c>
      <c r="C76" s="4" t="s">
        <v>18</v>
      </c>
      <c r="D76" s="4" t="s">
        <v>133</v>
      </c>
      <c r="E76" s="5" t="n">
        <v>40</v>
      </c>
      <c r="F76" s="5"/>
      <c r="G76" s="5" t="n">
        <v>25</v>
      </c>
      <c r="H76" s="6" t="n">
        <f aca="false">IF(AND(F76="",G76=""),0,SUM(F76:G76))</f>
        <v>25</v>
      </c>
      <c r="I76" s="5" t="n">
        <f aca="false">IF(E76="","",E76/5)</f>
        <v>8</v>
      </c>
      <c r="J76" s="7"/>
      <c r="K76" s="5" t="n">
        <f aca="false">IF(I76="","",IF(J76="",H76,J76)*I76)</f>
        <v>200</v>
      </c>
      <c r="L76" s="5" t="n">
        <v>56</v>
      </c>
      <c r="M76" s="5" t="n">
        <f aca="false">IF(K76="","",K76-L76)</f>
        <v>144</v>
      </c>
      <c r="N76" s="4"/>
    </row>
    <row r="77" customFormat="false" ht="15" hidden="false" customHeight="false" outlineLevel="0" collapsed="false">
      <c r="A77" s="4" t="n">
        <v>9019</v>
      </c>
      <c r="B77" s="4" t="s">
        <v>28</v>
      </c>
      <c r="C77" s="4" t="s">
        <v>18</v>
      </c>
      <c r="D77" s="4" t="s">
        <v>134</v>
      </c>
      <c r="E77" s="5" t="n">
        <v>40</v>
      </c>
      <c r="F77" s="5"/>
      <c r="G77" s="5"/>
      <c r="H77" s="6" t="n">
        <f aca="false">IF(AND(F77="",G77=""),0,SUM(F77:G77))</f>
        <v>0</v>
      </c>
      <c r="I77" s="5" t="n">
        <f aca="false">IF(E77="","",E77/5)</f>
        <v>8</v>
      </c>
      <c r="J77" s="7"/>
      <c r="K77" s="5" t="n">
        <f aca="false">IF(I77="","",IF(J77="",H77,J77)*I77)</f>
        <v>0</v>
      </c>
      <c r="L77" s="5" t="n">
        <v>0</v>
      </c>
      <c r="M77" s="5" t="n">
        <f aca="false">IF(K77="","",K77-L77)</f>
        <v>0</v>
      </c>
      <c r="N77" s="4"/>
    </row>
    <row r="78" customFormat="false" ht="15" hidden="false" customHeight="false" outlineLevel="0" collapsed="false">
      <c r="A78" s="4" t="n">
        <v>9029</v>
      </c>
      <c r="B78" s="4" t="s">
        <v>28</v>
      </c>
      <c r="C78" s="4" t="s">
        <v>18</v>
      </c>
      <c r="D78" s="4" t="s">
        <v>135</v>
      </c>
      <c r="E78" s="5" t="n">
        <v>40</v>
      </c>
      <c r="F78" s="5"/>
      <c r="G78" s="5"/>
      <c r="H78" s="6" t="n">
        <f aca="false">IF(AND(F78="",G78=""),0,SUM(F78:G78))</f>
        <v>0</v>
      </c>
      <c r="I78" s="5" t="n">
        <f aca="false">IF(E78="","",E78/5)</f>
        <v>8</v>
      </c>
      <c r="J78" s="7"/>
      <c r="K78" s="5" t="n">
        <f aca="false">IF(I78="","",IF(J78="",H78,J78)*I78)</f>
        <v>0</v>
      </c>
      <c r="L78" s="5" t="n">
        <v>0</v>
      </c>
      <c r="M78" s="5" t="n">
        <f aca="false">IF(K78="","",K78-L78)</f>
        <v>0</v>
      </c>
      <c r="N78" s="4"/>
    </row>
    <row r="79" customFormat="false" ht="15" hidden="false" customHeight="false" outlineLevel="0" collapsed="false">
      <c r="A79" s="4" t="n">
        <v>9030</v>
      </c>
      <c r="B79" s="4" t="s">
        <v>136</v>
      </c>
      <c r="C79" s="4" t="s">
        <v>18</v>
      </c>
      <c r="D79" s="4" t="s">
        <v>137</v>
      </c>
      <c r="E79" s="5" t="n">
        <v>40</v>
      </c>
      <c r="F79" s="5"/>
      <c r="G79" s="5" t="n">
        <v>26</v>
      </c>
      <c r="H79" s="6" t="n">
        <f aca="false">IF(AND(F79="",G79=""),0,SUM(F79:G79))</f>
        <v>26</v>
      </c>
      <c r="I79" s="5" t="n">
        <f aca="false">IF(E79="","",E79/5)</f>
        <v>8</v>
      </c>
      <c r="J79" s="7"/>
      <c r="K79" s="5" t="n">
        <f aca="false">IF(I79="","",IF(J79="",H79,J79)*I79)</f>
        <v>208</v>
      </c>
      <c r="L79" s="5" t="n">
        <v>80</v>
      </c>
      <c r="M79" s="5" t="n">
        <f aca="false">IF(K79="","",K79-L79)</f>
        <v>128</v>
      </c>
      <c r="N79" s="4"/>
    </row>
    <row r="80" customFormat="false" ht="15" hidden="false" customHeight="false" outlineLevel="0" collapsed="false">
      <c r="A80" s="4" t="n">
        <v>9033</v>
      </c>
      <c r="B80" s="4" t="s">
        <v>28</v>
      </c>
      <c r="C80" s="4" t="s">
        <v>18</v>
      </c>
      <c r="D80" s="4" t="s">
        <v>135</v>
      </c>
      <c r="E80" s="5" t="n">
        <v>40</v>
      </c>
      <c r="F80" s="5"/>
      <c r="G80" s="5"/>
      <c r="H80" s="6" t="n">
        <f aca="false">IF(AND(F80="",G80=""),0,SUM(F80:G80))</f>
        <v>0</v>
      </c>
      <c r="I80" s="5" t="n">
        <f aca="false">IF(E80="","",E80/5)</f>
        <v>8</v>
      </c>
      <c r="J80" s="7"/>
      <c r="K80" s="5" t="n">
        <f aca="false">IF(I80="","",IF(J80="",H80,J80)*I80)</f>
        <v>0</v>
      </c>
      <c r="L80" s="5" t="n">
        <v>0</v>
      </c>
      <c r="M80" s="5" t="n">
        <f aca="false">IF(K80="","",K80-L80)</f>
        <v>0</v>
      </c>
      <c r="N80" s="4"/>
    </row>
    <row r="81" customFormat="false" ht="15" hidden="false" customHeight="false" outlineLevel="0" collapsed="false">
      <c r="A81" s="4" t="n">
        <v>9035</v>
      </c>
      <c r="B81" s="4" t="s">
        <v>28</v>
      </c>
      <c r="C81" s="4" t="s">
        <v>18</v>
      </c>
      <c r="D81" s="4" t="s">
        <v>138</v>
      </c>
      <c r="E81" s="5" t="n">
        <v>40</v>
      </c>
      <c r="F81" s="5"/>
      <c r="G81" s="5"/>
      <c r="H81" s="6" t="n">
        <f aca="false">IF(AND(F81="",G81=""),0,SUM(F81:G81))</f>
        <v>0</v>
      </c>
      <c r="I81" s="5" t="n">
        <f aca="false">IF(E81="","",E81/5)</f>
        <v>8</v>
      </c>
      <c r="J81" s="7"/>
      <c r="K81" s="5" t="n">
        <f aca="false">IF(I81="","",IF(J81="",H81,J81)*I81)</f>
        <v>0</v>
      </c>
      <c r="L81" s="5" t="n">
        <v>0</v>
      </c>
      <c r="M81" s="5" t="n">
        <f aca="false">IF(K81="","",K81-L81)</f>
        <v>0</v>
      </c>
      <c r="N81" s="4"/>
    </row>
    <row r="82" customFormat="false" ht="15" hidden="false" customHeight="false" outlineLevel="0" collapsed="false">
      <c r="A82" s="4" t="n">
        <v>9037</v>
      </c>
      <c r="B82" s="4" t="s">
        <v>28</v>
      </c>
      <c r="C82" s="4" t="s">
        <v>18</v>
      </c>
      <c r="D82" s="4" t="s">
        <v>110</v>
      </c>
      <c r="E82" s="5" t="n">
        <v>40</v>
      </c>
      <c r="F82" s="5"/>
      <c r="G82" s="5"/>
      <c r="H82" s="6" t="n">
        <f aca="false">IF(AND(F82="",G82=""),0,SUM(F82:G82))</f>
        <v>0</v>
      </c>
      <c r="I82" s="5" t="n">
        <f aca="false">IF(E82="","",E82/5)</f>
        <v>8</v>
      </c>
      <c r="J82" s="7"/>
      <c r="K82" s="5" t="n">
        <f aca="false">IF(I82="","",IF(J82="",H82,J82)*I82)</f>
        <v>0</v>
      </c>
      <c r="L82" s="5" t="n">
        <v>0</v>
      </c>
      <c r="M82" s="5" t="n">
        <f aca="false">IF(K82="","",K82-L82)</f>
        <v>0</v>
      </c>
      <c r="N82" s="4"/>
    </row>
    <row r="83" customFormat="false" ht="15" hidden="false" customHeight="false" outlineLevel="0" collapsed="false">
      <c r="A83" s="4" t="n">
        <v>9039</v>
      </c>
      <c r="B83" s="4" t="s">
        <v>28</v>
      </c>
      <c r="C83" s="4" t="s">
        <v>18</v>
      </c>
      <c r="D83" s="4" t="s">
        <v>139</v>
      </c>
      <c r="E83" s="5" t="n">
        <v>40</v>
      </c>
      <c r="F83" s="5"/>
      <c r="G83" s="5"/>
      <c r="H83" s="6" t="n">
        <f aca="false">IF(AND(F83="",G83=""),0,SUM(F83:G83))</f>
        <v>0</v>
      </c>
      <c r="I83" s="5" t="n">
        <f aca="false">IF(E83="","",E83/5)</f>
        <v>8</v>
      </c>
      <c r="J83" s="7"/>
      <c r="K83" s="5" t="n">
        <f aca="false">IF(I83="","",IF(J83="",H83,J83)*I83)</f>
        <v>0</v>
      </c>
      <c r="L83" s="5" t="n">
        <v>0</v>
      </c>
      <c r="M83" s="5" t="n">
        <f aca="false">IF(K83="","",K83-L83)</f>
        <v>0</v>
      </c>
      <c r="N83" s="4"/>
    </row>
    <row r="84" customFormat="false" ht="15" hidden="false" customHeight="false" outlineLevel="0" collapsed="false">
      <c r="A84" s="4" t="n">
        <v>9103</v>
      </c>
      <c r="B84" s="4" t="s">
        <v>140</v>
      </c>
      <c r="C84" s="4" t="s">
        <v>18</v>
      </c>
      <c r="D84" s="4" t="s">
        <v>141</v>
      </c>
      <c r="E84" s="5" t="n">
        <v>40</v>
      </c>
      <c r="F84" s="5"/>
      <c r="G84" s="5" t="n">
        <v>25</v>
      </c>
      <c r="H84" s="6" t="n">
        <f aca="false">IF(AND(F84="",G84=""),0,SUM(F84:G84))</f>
        <v>25</v>
      </c>
      <c r="I84" s="5" t="n">
        <f aca="false">IF(E84="","",E84/5)</f>
        <v>8</v>
      </c>
      <c r="J84" s="7"/>
      <c r="K84" s="5" t="n">
        <f aca="false">IF(I84="","",IF(J84="",H84,J84)*I84)</f>
        <v>200</v>
      </c>
      <c r="L84" s="5" t="n">
        <v>0</v>
      </c>
      <c r="M84" s="5" t="n">
        <f aca="false">IF(K84="","",K84-L84)</f>
        <v>200</v>
      </c>
      <c r="N84" s="4"/>
    </row>
    <row r="85" customFormat="false" ht="15" hidden="false" customHeight="false" outlineLevel="0" collapsed="false">
      <c r="A85" s="4" t="n">
        <v>9104</v>
      </c>
      <c r="B85" s="4" t="s">
        <v>28</v>
      </c>
      <c r="C85" s="4" t="s">
        <v>18</v>
      </c>
      <c r="D85" s="4" t="s">
        <v>142</v>
      </c>
      <c r="E85" s="5" t="n">
        <v>40</v>
      </c>
      <c r="F85" s="5"/>
      <c r="G85" s="5"/>
      <c r="H85" s="6" t="n">
        <f aca="false">IF(AND(F85="",G85=""),0,SUM(F85:G85))</f>
        <v>0</v>
      </c>
      <c r="I85" s="5" t="n">
        <f aca="false">IF(E85="","",E85/5)</f>
        <v>8</v>
      </c>
      <c r="J85" s="7"/>
      <c r="K85" s="5" t="n">
        <f aca="false">IF(I85="","",IF(J85="",H85,J85)*I85)</f>
        <v>0</v>
      </c>
      <c r="L85" s="5" t="n">
        <v>0</v>
      </c>
      <c r="M85" s="5" t="n">
        <f aca="false">IF(K85="","",K85-L85)</f>
        <v>0</v>
      </c>
      <c r="N85" s="4"/>
    </row>
    <row r="87" customFormat="false" ht="15" hidden="false" customHeight="false" outlineLevel="0" collapsed="false">
      <c r="B87" s="13" t="s">
        <v>143</v>
      </c>
      <c r="C87" s="13" t="n">
        <v>80</v>
      </c>
    </row>
    <row r="88" customFormat="false" ht="15" hidden="false" customHeight="false" outlineLevel="0" collapsed="false">
      <c r="B88" s="13" t="s">
        <v>144</v>
      </c>
      <c r="C88" s="13" t="n">
        <v>5</v>
      </c>
    </row>
    <row r="89" customFormat="false" ht="15" hidden="false" customHeight="false" outlineLevel="0" collapsed="false">
      <c r="B89" s="13" t="s">
        <v>145</v>
      </c>
      <c r="C89" s="13" t="n">
        <v>14</v>
      </c>
    </row>
  </sheetData>
  <autoFilter ref="A5:N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66"/>
  </cols>
  <sheetData>
    <row r="1" customFormat="false" ht="17.35" hidden="false" customHeight="false" outlineLevel="0" collapsed="false">
      <c r="A1" s="1" t="s">
        <v>146</v>
      </c>
    </row>
    <row r="3" customFormat="false" ht="15" hidden="false" customHeight="false" outlineLevel="0" collapsed="false">
      <c r="A3" s="14"/>
      <c r="B3" s="14"/>
      <c r="C3" s="14"/>
    </row>
    <row r="4" customFormat="false" ht="15" hidden="false" customHeight="false" outlineLevel="0" collapsed="false">
      <c r="A4" s="15" t="s">
        <v>147</v>
      </c>
      <c r="B4" s="15"/>
      <c r="C4" s="15"/>
    </row>
    <row r="5" customFormat="false" ht="15" hidden="false" customHeight="false" outlineLevel="0" collapsed="false">
      <c r="A5" s="14" t="s">
        <v>148</v>
      </c>
      <c r="B5" s="14" t="s">
        <v>149</v>
      </c>
      <c r="C5" s="14" t="s">
        <v>150</v>
      </c>
    </row>
    <row r="6" customFormat="false" ht="23.85" hidden="false" customHeight="false" outlineLevel="0" collapsed="false">
      <c r="A6" s="14" t="s">
        <v>151</v>
      </c>
      <c r="B6" s="14" t="s">
        <v>152</v>
      </c>
      <c r="C6" s="14" t="s">
        <v>153</v>
      </c>
    </row>
    <row r="7" customFormat="false" ht="15" hidden="false" customHeight="false" outlineLevel="0" collapsed="false">
      <c r="A7" s="14" t="s">
        <v>154</v>
      </c>
      <c r="B7" s="14" t="s">
        <v>155</v>
      </c>
      <c r="C7" s="14" t="s">
        <v>156</v>
      </c>
    </row>
    <row r="8" customFormat="false" ht="15" hidden="false" customHeight="false" outlineLevel="0" collapsed="false">
      <c r="A8" s="14"/>
      <c r="B8" s="14"/>
      <c r="C8" s="14"/>
    </row>
    <row r="9" customFormat="false" ht="15" hidden="false" customHeight="false" outlineLevel="0" collapsed="false">
      <c r="A9" s="15" t="s">
        <v>157</v>
      </c>
      <c r="B9" s="15"/>
      <c r="C9" s="15"/>
    </row>
    <row r="10" customFormat="false" ht="15" hidden="false" customHeight="false" outlineLevel="0" collapsed="false">
      <c r="A10" s="14" t="s">
        <v>158</v>
      </c>
      <c r="B10" s="14" t="s">
        <v>159</v>
      </c>
      <c r="C10" s="14" t="s">
        <v>160</v>
      </c>
    </row>
    <row r="11" customFormat="false" ht="15" hidden="false" customHeight="false" outlineLevel="0" collapsed="false">
      <c r="A11" s="14" t="s">
        <v>161</v>
      </c>
      <c r="B11" s="14" t="s">
        <v>162</v>
      </c>
      <c r="C11" s="14" t="s">
        <v>163</v>
      </c>
    </row>
    <row r="12" customFormat="false" ht="15" hidden="false" customHeight="false" outlineLevel="0" collapsed="false">
      <c r="A12" s="14" t="s">
        <v>164</v>
      </c>
      <c r="B12" s="14" t="s">
        <v>159</v>
      </c>
      <c r="C12" s="14" t="s">
        <v>165</v>
      </c>
    </row>
    <row r="13" customFormat="false" ht="15" hidden="false" customHeight="false" outlineLevel="0" collapsed="false">
      <c r="A13" s="14" t="s">
        <v>166</v>
      </c>
      <c r="B13" s="14" t="s">
        <v>159</v>
      </c>
      <c r="C13" s="14" t="s">
        <v>167</v>
      </c>
    </row>
    <row r="14" customFormat="false" ht="15" hidden="false" customHeight="false" outlineLevel="0" collapsed="false">
      <c r="A14" s="14" t="s">
        <v>168</v>
      </c>
      <c r="B14" s="14" t="s">
        <v>159</v>
      </c>
      <c r="C14" s="14" t="s">
        <v>169</v>
      </c>
    </row>
    <row r="15" customFormat="false" ht="15" hidden="false" customHeight="false" outlineLevel="0" collapsed="false">
      <c r="A15" s="14"/>
      <c r="B15" s="14"/>
      <c r="C15" s="14"/>
    </row>
    <row r="16" customFormat="false" ht="15" hidden="false" customHeight="false" outlineLevel="0" collapsed="false">
      <c r="A16" s="15" t="s">
        <v>170</v>
      </c>
      <c r="B16" s="15"/>
      <c r="C16" s="15"/>
    </row>
    <row r="17" customFormat="false" ht="15" hidden="false" customHeight="false" outlineLevel="0" collapsed="false">
      <c r="A17" s="14" t="s">
        <v>171</v>
      </c>
      <c r="B17" s="14"/>
      <c r="C17" s="14" t="s">
        <v>172</v>
      </c>
    </row>
    <row r="18" customFormat="false" ht="15" hidden="false" customHeight="false" outlineLevel="0" collapsed="false">
      <c r="A18" s="14" t="s">
        <v>173</v>
      </c>
      <c r="B18" s="14"/>
      <c r="C18" s="14" t="s">
        <v>174</v>
      </c>
    </row>
    <row r="19" customFormat="false" ht="15" hidden="false" customHeight="false" outlineLevel="0" collapsed="false">
      <c r="A19" s="14" t="s">
        <v>175</v>
      </c>
      <c r="B19" s="14"/>
      <c r="C19" s="14" t="s">
        <v>176</v>
      </c>
    </row>
    <row r="21" customFormat="false" ht="15" hidden="false" customHeight="false" outlineLevel="0" collapsed="false">
      <c r="A21" s="16" t="s">
        <v>177</v>
      </c>
    </row>
    <row r="22" customFormat="false" ht="15" hidden="false" customHeight="false" outlineLevel="0" collapsed="false">
      <c r="A22" s="16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2026-07-30T12:30:30Z</dcterms:created>
  <dc:creator>openpyxl</dc:creator>
  <dc:description/>
  <dc:language>en-US</dc:language>
  <cp:lastModifiedBy/>
  <dcterms:modified xsi:type="dcterms:W3CDTF">2026-07-30T12:30:30Z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