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diny KVĚTEN" sheetId="1" state="visible" r:id="rId1"/>
    <sheet xmlns:r="http://schemas.openxmlformats.org/officeDocument/2006/relationships" name="Co průchod ukáz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C00000"/>
      <sz val="10"/>
    </font>
    <font>
      <color rgb="001E7B34"/>
      <sz val="10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16" customWidth="1" min="4" max="4"/>
    <col width="13" customWidth="1" min="5" max="5"/>
    <col width="14" customWidth="1" min="6" max="6"/>
    <col width="13" customWidth="1" min="7" max="7"/>
    <col width="14" customWidth="1" min="8" max="8"/>
    <col width="42" customWidth="1" min="9" max="9"/>
  </cols>
  <sheetData>
    <row r="1">
      <c r="A1" s="1" t="inlineStr">
        <is>
          <t>Firma</t>
        </is>
      </c>
      <c r="B1" s="1" t="inlineStr">
        <is>
          <t>Os.č.</t>
        </is>
      </c>
      <c r="C1" s="1" t="inlineStr">
        <is>
          <t>Jméno</t>
        </is>
      </c>
      <c r="D1" s="1" t="inlineStr">
        <is>
          <t>Naše docházka (work+overhead) h</t>
        </is>
      </c>
      <c r="E1" s="1" t="inlineStr">
        <is>
          <t>Helios odpracováno h</t>
        </is>
      </c>
      <c r="F1" s="1" t="inlineStr">
        <is>
          <t>Helios náhrady h (dov./lékař)</t>
        </is>
      </c>
      <c r="G1" s="1" t="inlineStr">
        <is>
          <t>Helios placeno celkem h</t>
        </is>
      </c>
      <c r="H1" s="1" t="inlineStr">
        <is>
          <t>Δ naše − Helios odprac.</t>
        </is>
      </c>
      <c r="I1" s="1" t="inlineStr">
        <is>
          <t>Poznámka</t>
        </is>
      </c>
    </row>
    <row r="2">
      <c r="A2" s="2" t="inlineStr">
        <is>
          <t>EC</t>
        </is>
      </c>
      <c r="B2" s="2" t="inlineStr">
        <is>
          <t>475</t>
        </is>
      </c>
      <c r="C2" s="2" t="inlineStr">
        <is>
          <t>Andrea Bernardová</t>
        </is>
      </c>
      <c r="D2" s="3" t="n">
        <v>121.6</v>
      </c>
      <c r="E2" s="3" t="n">
        <v>130</v>
      </c>
      <c r="F2" s="3" t="n">
        <v>4</v>
      </c>
      <c r="G2" s="3" t="n">
        <v>134</v>
      </c>
      <c r="H2" s="4" t="n">
        <v>-8.4</v>
      </c>
      <c r="I2" s="3" t="inlineStr">
        <is>
          <t>Helios má 4 h náhrad (dovolená/lékař) – naše docházka je nezahrnuje</t>
        </is>
      </c>
    </row>
    <row r="3">
      <c r="A3" s="2" t="inlineStr">
        <is>
          <t>EC</t>
        </is>
      </c>
      <c r="B3" s="2" t="inlineStr">
        <is>
          <t>24</t>
        </is>
      </c>
      <c r="C3" s="2" t="inlineStr">
        <is>
          <t>Eliška Kolářová</t>
        </is>
      </c>
      <c r="D3" s="3" t="n">
        <v>152</v>
      </c>
      <c r="E3" s="3" t="n">
        <v>144</v>
      </c>
      <c r="F3" s="3" t="n">
        <v>24</v>
      </c>
      <c r="G3" s="3" t="n">
        <v>168</v>
      </c>
      <c r="H3" s="4" t="n">
        <v>8</v>
      </c>
      <c r="I3" s="3" t="inlineStr">
        <is>
          <t>Helios má 24 h náhrad (dovolená/lékař) – naše docházka je nezahrnuje</t>
        </is>
      </c>
    </row>
    <row r="4">
      <c r="A4" s="2" t="inlineStr">
        <is>
          <t>EC</t>
        </is>
      </c>
      <c r="B4" s="2" t="inlineStr">
        <is>
          <t>420</t>
        </is>
      </c>
      <c r="C4" s="2" t="inlineStr">
        <is>
          <t>Ivana Honomichlová</t>
        </is>
      </c>
      <c r="D4" s="3" t="n">
        <v>148.6</v>
      </c>
      <c r="E4" s="3" t="n">
        <v>168</v>
      </c>
      <c r="F4" s="3" t="n">
        <v>0</v>
      </c>
      <c r="G4" s="3" t="n">
        <v>168</v>
      </c>
      <c r="H4" s="4" t="n">
        <v>-19.4</v>
      </c>
      <c r="I4" s="3" t="inlineStr">
        <is>
          <t>rozdíl ≈ svátky (19 h placeno navíc nominálně)</t>
        </is>
      </c>
    </row>
    <row r="5">
      <c r="A5" s="2" t="inlineStr">
        <is>
          <t>EC</t>
        </is>
      </c>
      <c r="B5" s="2" t="inlineStr">
        <is>
          <t>532</t>
        </is>
      </c>
      <c r="C5" s="2" t="inlineStr">
        <is>
          <t>Jakub Kasal</t>
        </is>
      </c>
      <c r="D5" s="3" t="n">
        <v>152</v>
      </c>
      <c r="E5" s="3" t="n">
        <v>125</v>
      </c>
      <c r="F5" s="3" t="n">
        <v>42</v>
      </c>
      <c r="G5" s="3" t="n">
        <v>167</v>
      </c>
      <c r="H5" s="4" t="n">
        <v>27</v>
      </c>
      <c r="I5" s="3" t="inlineStr">
        <is>
          <t>Helios má 42 h náhrad (dovolená/lékař) – naše docházka je nezahrnuje</t>
        </is>
      </c>
    </row>
    <row r="6">
      <c r="A6" s="2" t="inlineStr">
        <is>
          <t>EC</t>
        </is>
      </c>
      <c r="B6" s="2" t="inlineStr">
        <is>
          <t>536</t>
        </is>
      </c>
      <c r="C6" s="2" t="inlineStr">
        <is>
          <t>Jan Peřina</t>
        </is>
      </c>
      <c r="D6" s="3" t="n">
        <v>152</v>
      </c>
      <c r="E6" s="3" t="n">
        <v>168</v>
      </c>
      <c r="F6" s="3" t="n">
        <v>0</v>
      </c>
      <c r="G6" s="3" t="n">
        <v>168</v>
      </c>
      <c r="H6" s="4" t="n">
        <v>-16</v>
      </c>
      <c r="I6" s="3" t="inlineStr">
        <is>
          <t>rozdíl ≈ svátky (16 h placeno navíc nominálně)</t>
        </is>
      </c>
    </row>
    <row r="7">
      <c r="A7" s="2" t="inlineStr">
        <is>
          <t>EC</t>
        </is>
      </c>
      <c r="B7" s="2" t="inlineStr">
        <is>
          <t>435</t>
        </is>
      </c>
      <c r="C7" s="2" t="inlineStr">
        <is>
          <t>Jan Svatoš</t>
        </is>
      </c>
      <c r="D7" s="3" t="n">
        <v>152</v>
      </c>
      <c r="E7" s="3" t="n">
        <v>168</v>
      </c>
      <c r="F7" s="3" t="n">
        <v>0</v>
      </c>
      <c r="G7" s="3" t="n">
        <v>168</v>
      </c>
      <c r="H7" s="4" t="n">
        <v>-16</v>
      </c>
      <c r="I7" s="3" t="inlineStr">
        <is>
          <t>rozdíl ≈ svátky (16 h placeno navíc nominálně)</t>
        </is>
      </c>
    </row>
    <row r="8">
      <c r="A8" s="2" t="inlineStr">
        <is>
          <t>EC</t>
        </is>
      </c>
      <c r="B8" s="2" t="inlineStr">
        <is>
          <t>14</t>
        </is>
      </c>
      <c r="C8" s="2" t="inlineStr">
        <is>
          <t>Jiří Veverka</t>
        </is>
      </c>
      <c r="D8" s="3" t="n">
        <v>152</v>
      </c>
      <c r="E8" s="3" t="n">
        <v>168</v>
      </c>
      <c r="F8" s="3" t="n">
        <v>0</v>
      </c>
      <c r="G8" s="3" t="n">
        <v>168</v>
      </c>
      <c r="H8" s="4" t="n">
        <v>-16</v>
      </c>
      <c r="I8" s="3" t="inlineStr">
        <is>
          <t>rozdíl ≈ svátky (16 h placeno navíc nominálně)</t>
        </is>
      </c>
    </row>
    <row r="9">
      <c r="A9" s="2" t="inlineStr">
        <is>
          <t>EC</t>
        </is>
      </c>
      <c r="B9" s="2" t="inlineStr">
        <is>
          <t>361</t>
        </is>
      </c>
      <c r="C9" s="2" t="inlineStr">
        <is>
          <t>Klára Vlková</t>
        </is>
      </c>
      <c r="D9" s="3" t="inlineStr">
        <is>
          <t>—</t>
        </is>
      </c>
      <c r="E9" s="3" t="n">
        <v>63</v>
      </c>
      <c r="F9" s="3" t="n">
        <v>0</v>
      </c>
      <c r="G9" s="3" t="n">
        <v>63</v>
      </c>
      <c r="H9" s="3" t="inlineStr">
        <is>
          <t>—</t>
        </is>
      </c>
      <c r="I9" s="3" t="inlineStr">
        <is>
          <t>v naší docházce za květen chybí</t>
        </is>
      </c>
    </row>
    <row r="10">
      <c r="A10" s="2" t="inlineStr">
        <is>
          <t>EC</t>
        </is>
      </c>
      <c r="B10" s="2" t="inlineStr">
        <is>
          <t>465</t>
        </is>
      </c>
      <c r="C10" s="2" t="inlineStr">
        <is>
          <t>Luboš Trunec</t>
        </is>
      </c>
      <c r="D10" s="3" t="n">
        <v>152</v>
      </c>
      <c r="E10" s="3" t="n">
        <v>168</v>
      </c>
      <c r="F10" s="3" t="n">
        <v>0</v>
      </c>
      <c r="G10" s="3" t="n">
        <v>168</v>
      </c>
      <c r="H10" s="4" t="n">
        <v>-16</v>
      </c>
      <c r="I10" s="3" t="inlineStr">
        <is>
          <t>rozdíl ≈ svátky (16 h placeno navíc nominálně)</t>
        </is>
      </c>
    </row>
    <row r="11">
      <c r="A11" s="2" t="inlineStr">
        <is>
          <t>EC</t>
        </is>
      </c>
      <c r="B11" s="2" t="inlineStr">
        <is>
          <t>456</t>
        </is>
      </c>
      <c r="C11" s="2" t="inlineStr">
        <is>
          <t>Martin Króner</t>
        </is>
      </c>
      <c r="D11" s="3" t="n">
        <v>152</v>
      </c>
      <c r="E11" s="3" t="n">
        <v>88</v>
      </c>
      <c r="F11" s="3" t="n">
        <v>80</v>
      </c>
      <c r="G11" s="3" t="n">
        <v>168</v>
      </c>
      <c r="H11" s="4" t="n">
        <v>64</v>
      </c>
      <c r="I11" s="3" t="inlineStr">
        <is>
          <t>Helios má 80 h náhrad (dovolená/lékař) – naše docházka je nezahrnuje</t>
        </is>
      </c>
    </row>
    <row r="12">
      <c r="A12" s="2" t="inlineStr">
        <is>
          <t>EC</t>
        </is>
      </c>
      <c r="B12" s="2" t="inlineStr">
        <is>
          <t>533</t>
        </is>
      </c>
      <c r="C12" s="2" t="inlineStr">
        <is>
          <t>Martin Porner</t>
        </is>
      </c>
      <c r="D12" s="3" t="n">
        <v>152</v>
      </c>
      <c r="E12" s="3" t="n">
        <v>168</v>
      </c>
      <c r="F12" s="3" t="n">
        <v>0</v>
      </c>
      <c r="G12" s="3" t="n">
        <v>168</v>
      </c>
      <c r="H12" s="4" t="n">
        <v>-16</v>
      </c>
      <c r="I12" s="3" t="inlineStr">
        <is>
          <t>rozdíl ≈ svátky (16 h placeno navíc nominálně)</t>
        </is>
      </c>
    </row>
    <row r="13">
      <c r="A13" s="2" t="inlineStr">
        <is>
          <t>EC</t>
        </is>
      </c>
      <c r="B13" s="2" t="inlineStr">
        <is>
          <t>40</t>
        </is>
      </c>
      <c r="C13" s="2" t="inlineStr">
        <is>
          <t>Pavel Zeman</t>
        </is>
      </c>
      <c r="D13" s="3" t="n">
        <v>152</v>
      </c>
      <c r="E13" s="3" t="n">
        <v>166</v>
      </c>
      <c r="F13" s="3" t="n">
        <v>1</v>
      </c>
      <c r="G13" s="3" t="n">
        <v>167</v>
      </c>
      <c r="H13" s="4" t="n">
        <v>-14</v>
      </c>
      <c r="I13" s="3" t="inlineStr">
        <is>
          <t>Helios má 1 h náhrad (dovolená/lékař) – naše docházka je nezahrnuje</t>
        </is>
      </c>
    </row>
    <row r="14">
      <c r="A14" s="2" t="inlineStr">
        <is>
          <t>EC</t>
        </is>
      </c>
      <c r="B14" s="2" t="inlineStr">
        <is>
          <t>472</t>
        </is>
      </c>
      <c r="C14" s="2" t="inlineStr">
        <is>
          <t>Vladimír Navrátil</t>
        </is>
      </c>
      <c r="D14" s="3" t="n">
        <v>152</v>
      </c>
      <c r="E14" s="3" t="n">
        <v>168</v>
      </c>
      <c r="F14" s="3" t="n">
        <v>0</v>
      </c>
      <c r="G14" s="3" t="n">
        <v>168</v>
      </c>
      <c r="H14" s="4" t="n">
        <v>-16</v>
      </c>
      <c r="I14" s="3" t="inlineStr">
        <is>
          <t>rozdíl ≈ svátky (16 h placeno navíc nominálně)</t>
        </is>
      </c>
    </row>
    <row r="15">
      <c r="A15" s="2" t="inlineStr">
        <is>
          <t>ES</t>
        </is>
      </c>
      <c r="B15" s="2" t="inlineStr">
        <is>
          <t>322</t>
        </is>
      </c>
      <c r="C15" s="2" t="inlineStr">
        <is>
          <t>Erika Sedláčková</t>
        </is>
      </c>
      <c r="D15" s="3" t="n">
        <v>152</v>
      </c>
      <c r="E15" s="3" t="n">
        <v>168</v>
      </c>
      <c r="F15" s="3" t="n">
        <v>0</v>
      </c>
      <c r="G15" s="3" t="n">
        <v>168</v>
      </c>
      <c r="H15" s="4" t="n">
        <v>-16</v>
      </c>
      <c r="I15" s="3" t="inlineStr">
        <is>
          <t>rozdíl ≈ svátky (16 h placeno navíc nominálně)</t>
        </is>
      </c>
    </row>
    <row r="16">
      <c r="A16" s="2" t="inlineStr">
        <is>
          <t>ES</t>
        </is>
      </c>
      <c r="B16" s="2" t="inlineStr">
        <is>
          <t>489</t>
        </is>
      </c>
      <c r="C16" s="2" t="inlineStr">
        <is>
          <t>Ilona Nepodalová</t>
        </is>
      </c>
      <c r="D16" s="3" t="n">
        <v>152</v>
      </c>
      <c r="E16" s="3" t="n">
        <v>168</v>
      </c>
      <c r="F16" s="3" t="n">
        <v>0</v>
      </c>
      <c r="G16" s="3" t="n">
        <v>168</v>
      </c>
      <c r="H16" s="4" t="n">
        <v>-16</v>
      </c>
      <c r="I16" s="3" t="inlineStr">
        <is>
          <t>rozdíl ≈ svátky (16 h placeno navíc nominálně)</t>
        </is>
      </c>
    </row>
    <row r="17">
      <c r="A17" s="2" t="inlineStr">
        <is>
          <t>ES</t>
        </is>
      </c>
      <c r="B17" s="2" t="inlineStr">
        <is>
          <t>442</t>
        </is>
      </c>
      <c r="C17" s="2" t="inlineStr">
        <is>
          <t>Iva Hrůzová</t>
        </is>
      </c>
      <c r="D17" s="3" t="n">
        <v>152</v>
      </c>
      <c r="E17" s="3" t="n">
        <v>157</v>
      </c>
      <c r="F17" s="3" t="n">
        <v>10</v>
      </c>
      <c r="G17" s="3" t="n">
        <v>167</v>
      </c>
      <c r="H17" s="4" t="n">
        <v>-5</v>
      </c>
      <c r="I17" s="3" t="inlineStr">
        <is>
          <t>Helios má 10 h náhrad (dovolená/lékař) – naše docházka je nezahrnuje</t>
        </is>
      </c>
    </row>
    <row r="18">
      <c r="A18" s="2" t="inlineStr">
        <is>
          <t>ES</t>
        </is>
      </c>
      <c r="B18" s="2" t="inlineStr">
        <is>
          <t>356</t>
        </is>
      </c>
      <c r="C18" s="2" t="inlineStr">
        <is>
          <t>Ivana Brudnová</t>
        </is>
      </c>
      <c r="D18" s="3" t="n">
        <v>133</v>
      </c>
      <c r="E18" s="3" t="n">
        <v>147</v>
      </c>
      <c r="F18" s="3" t="n">
        <v>0</v>
      </c>
      <c r="G18" s="3" t="n">
        <v>147</v>
      </c>
      <c r="H18" s="4" t="n">
        <v>-14</v>
      </c>
      <c r="I18" s="3" t="inlineStr">
        <is>
          <t>rozdíl ≈ svátky (14 h placeno navíc nominálně)</t>
        </is>
      </c>
    </row>
    <row r="19">
      <c r="A19" s="2" t="inlineStr">
        <is>
          <t>ES</t>
        </is>
      </c>
      <c r="B19" s="2" t="inlineStr">
        <is>
          <t>502</t>
        </is>
      </c>
      <c r="C19" s="2" t="inlineStr">
        <is>
          <t>Jakub Pěchouček</t>
        </is>
      </c>
      <c r="D19" s="3" t="n">
        <v>152</v>
      </c>
      <c r="E19" s="3" t="n">
        <v>156</v>
      </c>
      <c r="F19" s="3" t="n">
        <v>12</v>
      </c>
      <c r="G19" s="3" t="n">
        <v>168</v>
      </c>
      <c r="H19" s="4" t="n">
        <v>-4</v>
      </c>
      <c r="I19" s="3" t="inlineStr">
        <is>
          <t>Helios má 12 h náhrad (dovolená/lékař) – naše docházka je nezahrnuje</t>
        </is>
      </c>
    </row>
    <row r="20">
      <c r="A20" s="2" t="inlineStr">
        <is>
          <t>ES</t>
        </is>
      </c>
      <c r="B20" s="2" t="inlineStr">
        <is>
          <t>433</t>
        </is>
      </c>
      <c r="C20" s="2" t="inlineStr">
        <is>
          <t>Jana Lišková</t>
        </is>
      </c>
      <c r="D20" s="3" t="n">
        <v>152</v>
      </c>
      <c r="E20" s="3" t="n">
        <v>168</v>
      </c>
      <c r="F20" s="3" t="n">
        <v>0</v>
      </c>
      <c r="G20" s="3" t="n">
        <v>168</v>
      </c>
      <c r="H20" s="4" t="n">
        <v>-16</v>
      </c>
      <c r="I20" s="3" t="inlineStr">
        <is>
          <t>rozdíl ≈ svátky (16 h placeno navíc nominálně)</t>
        </is>
      </c>
    </row>
    <row r="21">
      <c r="A21" s="2" t="inlineStr">
        <is>
          <t>ES</t>
        </is>
      </c>
      <c r="B21" s="2" t="inlineStr">
        <is>
          <t>488</t>
        </is>
      </c>
      <c r="C21" s="2" t="inlineStr">
        <is>
          <t>Jaroslav Švenda</t>
        </is>
      </c>
      <c r="D21" s="3" t="n">
        <v>152</v>
      </c>
      <c r="E21" s="3" t="n">
        <v>168</v>
      </c>
      <c r="F21" s="3" t="n">
        <v>0</v>
      </c>
      <c r="G21" s="3" t="n">
        <v>168</v>
      </c>
      <c r="H21" s="4" t="n">
        <v>-16</v>
      </c>
      <c r="I21" s="3" t="inlineStr">
        <is>
          <t>rozdíl ≈ svátky (16 h placeno navíc nominálně)</t>
        </is>
      </c>
    </row>
    <row r="22">
      <c r="A22" s="2" t="inlineStr">
        <is>
          <t>ES</t>
        </is>
      </c>
      <c r="B22" s="2" t="inlineStr">
        <is>
          <t>483</t>
        </is>
      </c>
      <c r="C22" s="2" t="inlineStr">
        <is>
          <t>Jiří Hájek</t>
        </is>
      </c>
      <c r="D22" s="3" t="n">
        <v>152</v>
      </c>
      <c r="E22" s="3" t="n">
        <v>160</v>
      </c>
      <c r="F22" s="3" t="n">
        <v>8</v>
      </c>
      <c r="G22" s="3" t="n">
        <v>168</v>
      </c>
      <c r="H22" s="4" t="n">
        <v>-8</v>
      </c>
      <c r="I22" s="3" t="inlineStr">
        <is>
          <t>Helios má 8 h náhrad (dovolená/lékař) – naše docházka je nezahrnuje</t>
        </is>
      </c>
    </row>
    <row r="23">
      <c r="A23" s="2" t="inlineStr">
        <is>
          <t>ES</t>
        </is>
      </c>
      <c r="B23" s="2" t="inlineStr">
        <is>
          <t>498</t>
        </is>
      </c>
      <c r="C23" s="2" t="inlineStr">
        <is>
          <t>Josef Artim</t>
        </is>
      </c>
      <c r="D23" s="3" t="n">
        <v>152</v>
      </c>
      <c r="E23" s="3" t="n">
        <v>148</v>
      </c>
      <c r="F23" s="3" t="n">
        <v>20</v>
      </c>
      <c r="G23" s="3" t="n">
        <v>168</v>
      </c>
      <c r="H23" s="4" t="n">
        <v>4</v>
      </c>
      <c r="I23" s="3" t="inlineStr">
        <is>
          <t>Helios má 20 h náhrad (dovolená/lékař) – naše docházka je nezahrnuje</t>
        </is>
      </c>
    </row>
    <row r="24">
      <c r="A24" s="2" t="inlineStr">
        <is>
          <t>ES</t>
        </is>
      </c>
      <c r="B24" s="2" t="inlineStr">
        <is>
          <t>21</t>
        </is>
      </c>
      <c r="C24" s="2" t="inlineStr">
        <is>
          <t>Kristýna Marešová</t>
        </is>
      </c>
      <c r="D24" s="3" t="n">
        <v>126.5</v>
      </c>
      <c r="E24" s="3" t="n">
        <v>168</v>
      </c>
      <c r="F24" s="3" t="n">
        <v>0</v>
      </c>
      <c r="G24" s="3" t="n">
        <v>168</v>
      </c>
      <c r="H24" s="4" t="n">
        <v>-41.5</v>
      </c>
      <c r="I24" s="3" t="inlineStr">
        <is>
          <t>rozdíl ≈ svátky (42 h placeno navíc nominálně)</t>
        </is>
      </c>
    </row>
    <row r="25">
      <c r="A25" s="2" t="inlineStr">
        <is>
          <t>ES</t>
        </is>
      </c>
      <c r="B25" s="2" t="inlineStr">
        <is>
          <t>493</t>
        </is>
      </c>
      <c r="C25" s="2" t="inlineStr">
        <is>
          <t>Lucie Jakešová</t>
        </is>
      </c>
      <c r="D25" s="3" t="n">
        <v>152</v>
      </c>
      <c r="E25" s="3" t="n">
        <v>160</v>
      </c>
      <c r="F25" s="3" t="n">
        <v>7</v>
      </c>
      <c r="G25" s="3" t="n">
        <v>167</v>
      </c>
      <c r="H25" s="4" t="n">
        <v>-8</v>
      </c>
      <c r="I25" s="3" t="inlineStr">
        <is>
          <t>Helios má 7 h náhrad (dovolená/lékař) – naše docházka je nezahrnuje</t>
        </is>
      </c>
    </row>
    <row r="26">
      <c r="A26" s="2" t="inlineStr">
        <is>
          <t>ES</t>
        </is>
      </c>
      <c r="B26" s="2" t="inlineStr">
        <is>
          <t>46</t>
        </is>
      </c>
      <c r="C26" s="2" t="inlineStr">
        <is>
          <t>Lukáš Horký</t>
        </is>
      </c>
      <c r="D26" s="3" t="n">
        <v>150.4</v>
      </c>
      <c r="E26" s="3" t="n">
        <v>140</v>
      </c>
      <c r="F26" s="3" t="n">
        <v>28</v>
      </c>
      <c r="G26" s="3" t="n">
        <v>168</v>
      </c>
      <c r="H26" s="4" t="n">
        <v>10.4</v>
      </c>
      <c r="I26" s="3" t="inlineStr">
        <is>
          <t>Helios má 28 h náhrad (dovolená/lékař) – naše docházka je nezahrnuje</t>
        </is>
      </c>
    </row>
    <row r="27">
      <c r="A27" s="2" t="inlineStr">
        <is>
          <t>ES</t>
        </is>
      </c>
      <c r="B27" s="2" t="inlineStr">
        <is>
          <t>29</t>
        </is>
      </c>
      <c r="C27" s="2" t="inlineStr">
        <is>
          <t>Martin Pašek</t>
        </is>
      </c>
      <c r="D27" s="3" t="n">
        <v>152</v>
      </c>
      <c r="E27" s="3" t="n">
        <v>160</v>
      </c>
      <c r="F27" s="3" t="n">
        <v>8</v>
      </c>
      <c r="G27" s="3" t="n">
        <v>168</v>
      </c>
      <c r="H27" s="4" t="n">
        <v>-8</v>
      </c>
      <c r="I27" s="3" t="inlineStr">
        <is>
          <t>Helios má 8 h náhrad (dovolená/lékař) – naše docházka je nezahrnuje</t>
        </is>
      </c>
    </row>
    <row r="28">
      <c r="A28" s="2" t="inlineStr">
        <is>
          <t>ES</t>
        </is>
      </c>
      <c r="B28" s="2" t="inlineStr">
        <is>
          <t>517</t>
        </is>
      </c>
      <c r="C28" s="2" t="inlineStr">
        <is>
          <t>Martin Valenta</t>
        </is>
      </c>
      <c r="D28" s="3" t="n">
        <v>152</v>
      </c>
      <c r="E28" s="3" t="n">
        <v>168</v>
      </c>
      <c r="F28" s="3" t="n">
        <v>0</v>
      </c>
      <c r="G28" s="3" t="n">
        <v>168</v>
      </c>
      <c r="H28" s="4" t="n">
        <v>-16</v>
      </c>
      <c r="I28" s="3" t="inlineStr">
        <is>
          <t>rozdíl ≈ svátky (16 h placeno navíc nominálně)</t>
        </is>
      </c>
    </row>
    <row r="29">
      <c r="A29" s="2" t="inlineStr">
        <is>
          <t>ES</t>
        </is>
      </c>
      <c r="B29" s="2" t="inlineStr">
        <is>
          <t>126</t>
        </is>
      </c>
      <c r="C29" s="2" t="inlineStr">
        <is>
          <t>Matěj Svoboda</t>
        </is>
      </c>
      <c r="D29" s="3" t="n">
        <v>152</v>
      </c>
      <c r="E29" s="3" t="n">
        <v>168</v>
      </c>
      <c r="F29" s="3" t="n">
        <v>0</v>
      </c>
      <c r="G29" s="3" t="n">
        <v>168</v>
      </c>
      <c r="H29" s="4" t="n">
        <v>-16</v>
      </c>
      <c r="I29" s="3" t="inlineStr">
        <is>
          <t>rozdíl ≈ svátky (16 h placeno navíc nominálně)</t>
        </is>
      </c>
    </row>
    <row r="30">
      <c r="A30" s="2" t="inlineStr">
        <is>
          <t>ES</t>
        </is>
      </c>
      <c r="B30" s="2" t="inlineStr">
        <is>
          <t>440</t>
        </is>
      </c>
      <c r="C30" s="2" t="inlineStr">
        <is>
          <t>Michaela Hladíková</t>
        </is>
      </c>
      <c r="D30" s="3" t="n">
        <v>152</v>
      </c>
      <c r="E30" s="3" t="n">
        <v>152</v>
      </c>
      <c r="F30" s="3" t="n">
        <v>16</v>
      </c>
      <c r="G30" s="3" t="n">
        <v>168</v>
      </c>
      <c r="H30" s="5" t="n">
        <v>0</v>
      </c>
      <c r="I30" s="3" t="inlineStr">
        <is>
          <t>odpracováno sedí</t>
        </is>
      </c>
    </row>
    <row r="31">
      <c r="A31" s="2" t="inlineStr">
        <is>
          <t>ES</t>
        </is>
      </c>
      <c r="B31" s="2" t="inlineStr">
        <is>
          <t>486</t>
        </is>
      </c>
      <c r="C31" s="2" t="inlineStr">
        <is>
          <t>Michal Jirkovský</t>
        </is>
      </c>
      <c r="D31" s="3" t="n">
        <v>152</v>
      </c>
      <c r="E31" s="3" t="n">
        <v>128</v>
      </c>
      <c r="F31" s="3" t="n">
        <v>24</v>
      </c>
      <c r="G31" s="3" t="n">
        <v>152</v>
      </c>
      <c r="H31" s="4" t="n">
        <v>24</v>
      </c>
      <c r="I31" s="3" t="inlineStr">
        <is>
          <t>Helios má 24 h náhrad (dovolená/lékař) – naše docházka je nezahrnuje</t>
        </is>
      </c>
    </row>
    <row r="32">
      <c r="A32" s="2" t="inlineStr">
        <is>
          <t>ES</t>
        </is>
      </c>
      <c r="B32" s="2" t="inlineStr">
        <is>
          <t>494</t>
        </is>
      </c>
      <c r="C32" s="2" t="inlineStr">
        <is>
          <t>Pavel Egermaier</t>
        </is>
      </c>
      <c r="D32" s="3" t="n">
        <v>152</v>
      </c>
      <c r="E32" s="3" t="n">
        <v>54</v>
      </c>
      <c r="F32" s="3" t="n">
        <v>25</v>
      </c>
      <c r="G32" s="3" t="n">
        <v>79</v>
      </c>
      <c r="H32" s="4" t="n">
        <v>98</v>
      </c>
      <c r="I32" s="3" t="inlineStr">
        <is>
          <t>Helios má 25 h náhrad (dovolená/lékař) – naše docházka je nezahrnuje</t>
        </is>
      </c>
    </row>
    <row r="33">
      <c r="A33" s="2" t="inlineStr">
        <is>
          <t>ES</t>
        </is>
      </c>
      <c r="B33" s="2" t="inlineStr">
        <is>
          <t>6</t>
        </is>
      </c>
      <c r="C33" s="2" t="inlineStr">
        <is>
          <t>Petr Beneš</t>
        </is>
      </c>
      <c r="D33" s="3" t="n">
        <v>152</v>
      </c>
      <c r="E33" s="3" t="n">
        <v>152</v>
      </c>
      <c r="F33" s="3" t="n">
        <v>16</v>
      </c>
      <c r="G33" s="3" t="n">
        <v>168</v>
      </c>
      <c r="H33" s="5" t="n">
        <v>0</v>
      </c>
      <c r="I33" s="3" t="inlineStr">
        <is>
          <t>odpracováno sedí</t>
        </is>
      </c>
    </row>
    <row r="34">
      <c r="A34" s="2" t="inlineStr">
        <is>
          <t>ES</t>
        </is>
      </c>
      <c r="B34" s="2" t="inlineStr">
        <is>
          <t>522</t>
        </is>
      </c>
      <c r="C34" s="2" t="inlineStr">
        <is>
          <t>Petr Čiviš</t>
        </is>
      </c>
      <c r="D34" s="3" t="n">
        <v>152</v>
      </c>
      <c r="E34" s="3" t="n">
        <v>168</v>
      </c>
      <c r="F34" s="3" t="n">
        <v>0</v>
      </c>
      <c r="G34" s="3" t="n">
        <v>168</v>
      </c>
      <c r="H34" s="4" t="n">
        <v>-16</v>
      </c>
      <c r="I34" s="3" t="inlineStr">
        <is>
          <t>rozdíl ≈ svátky (16 h placeno navíc nominálně)</t>
        </is>
      </c>
    </row>
    <row r="35">
      <c r="A35" s="2" t="inlineStr">
        <is>
          <t>ES</t>
        </is>
      </c>
      <c r="B35" s="2" t="inlineStr">
        <is>
          <t>49</t>
        </is>
      </c>
      <c r="C35" s="2" t="inlineStr">
        <is>
          <t>Petra Dvořáková</t>
        </is>
      </c>
      <c r="D35" s="3" t="n">
        <v>114</v>
      </c>
      <c r="E35" s="3" t="n">
        <v>123</v>
      </c>
      <c r="F35" s="3" t="n">
        <v>3</v>
      </c>
      <c r="G35" s="3" t="n">
        <v>126</v>
      </c>
      <c r="H35" s="4" t="n">
        <v>-9</v>
      </c>
      <c r="I35" s="3" t="inlineStr">
        <is>
          <t>Helios má 3 h náhrad (dovolená/lékař) – naše docházka je nezahrnuje</t>
        </is>
      </c>
    </row>
    <row r="36">
      <c r="A36" s="2" t="inlineStr">
        <is>
          <t>ES</t>
        </is>
      </c>
      <c r="B36" s="2" t="inlineStr">
        <is>
          <t>496</t>
        </is>
      </c>
      <c r="C36" s="2" t="inlineStr">
        <is>
          <t>Simona Urbanová</t>
        </is>
      </c>
      <c r="D36" s="3" t="n">
        <v>152</v>
      </c>
      <c r="E36" s="3" t="n">
        <v>168</v>
      </c>
      <c r="F36" s="3" t="n">
        <v>0</v>
      </c>
      <c r="G36" s="3" t="n">
        <v>168</v>
      </c>
      <c r="H36" s="4" t="n">
        <v>-16</v>
      </c>
      <c r="I36" s="3" t="inlineStr">
        <is>
          <t>rozdíl ≈ svátky (16 h placeno navíc nominálně)</t>
        </is>
      </c>
    </row>
    <row r="37">
      <c r="A37" s="2" t="inlineStr">
        <is>
          <t>ES</t>
        </is>
      </c>
      <c r="B37" s="2" t="inlineStr">
        <is>
          <t>42</t>
        </is>
      </c>
      <c r="C37" s="2" t="inlineStr">
        <is>
          <t>Tereza Veverková</t>
        </is>
      </c>
      <c r="D37" s="3" t="n">
        <v>76</v>
      </c>
      <c r="E37" s="3" t="n">
        <v>84</v>
      </c>
      <c r="F37" s="3" t="n">
        <v>0</v>
      </c>
      <c r="G37" s="3" t="n">
        <v>84</v>
      </c>
      <c r="H37" s="4" t="n">
        <v>-8</v>
      </c>
      <c r="I37" s="3" t="inlineStr">
        <is>
          <t>ověřit (absence/režim)</t>
        </is>
      </c>
    </row>
    <row r="38">
      <c r="A38" s="2" t="inlineStr">
        <is>
          <t>ES</t>
        </is>
      </c>
      <c r="B38" s="2" t="inlineStr">
        <is>
          <t>476</t>
        </is>
      </c>
      <c r="C38" s="2" t="inlineStr">
        <is>
          <t>Tomáš Bláha</t>
        </is>
      </c>
      <c r="D38" s="3" t="n">
        <v>152</v>
      </c>
      <c r="E38" s="3" t="n">
        <v>160</v>
      </c>
      <c r="F38" s="3" t="n">
        <v>8</v>
      </c>
      <c r="G38" s="3" t="n">
        <v>168</v>
      </c>
      <c r="H38" s="4" t="n">
        <v>-8</v>
      </c>
      <c r="I38" s="3" t="inlineStr">
        <is>
          <t>Helios má 8 h náhrad (dovolená/lékař) – naše docházka je nezahrnuje</t>
        </is>
      </c>
    </row>
    <row r="39">
      <c r="A39" s="2" t="inlineStr">
        <is>
          <t>ES</t>
        </is>
      </c>
      <c r="B39" s="2" t="inlineStr">
        <is>
          <t>501</t>
        </is>
      </c>
      <c r="C39" s="2" t="inlineStr">
        <is>
          <t>Vojtěch Purkar</t>
        </is>
      </c>
      <c r="D39" s="3" t="n">
        <v>152</v>
      </c>
      <c r="E39" s="3" t="n">
        <v>168</v>
      </c>
      <c r="F39" s="3" t="n">
        <v>0</v>
      </c>
      <c r="G39" s="3" t="n">
        <v>168</v>
      </c>
      <c r="H39" s="4" t="n">
        <v>-16</v>
      </c>
      <c r="I39" s="3" t="inlineStr">
        <is>
          <t>rozdíl ≈ svátky (16 h placeno navíc nominálně)</t>
        </is>
      </c>
    </row>
    <row r="40">
      <c r="A40" s="2" t="inlineStr">
        <is>
          <t>ES</t>
        </is>
      </c>
      <c r="B40" s="2" t="inlineStr">
        <is>
          <t>474</t>
        </is>
      </c>
      <c r="C40" s="2" t="inlineStr">
        <is>
          <t>Václav Reitmaier</t>
        </is>
      </c>
      <c r="D40" s="3" t="n">
        <v>152</v>
      </c>
      <c r="E40" s="3" t="n">
        <v>160</v>
      </c>
      <c r="F40" s="3" t="n">
        <v>8</v>
      </c>
      <c r="G40" s="3" t="n">
        <v>168</v>
      </c>
      <c r="H40" s="4" t="n">
        <v>-8</v>
      </c>
      <c r="I40" s="3" t="inlineStr">
        <is>
          <t>Helios má 8 h náhrad (dovolená/lékař) – naše docházka je nezahrnuje</t>
        </is>
      </c>
    </row>
    <row r="41">
      <c r="A41" s="2" t="inlineStr">
        <is>
          <t>ES</t>
        </is>
      </c>
      <c r="B41" s="2" t="inlineStr">
        <is>
          <t>515</t>
        </is>
      </c>
      <c r="C41" s="2" t="inlineStr">
        <is>
          <t>Václav Vápeník</t>
        </is>
      </c>
      <c r="D41" s="3" t="n">
        <v>152</v>
      </c>
      <c r="E41" s="3" t="n">
        <v>160</v>
      </c>
      <c r="F41" s="3" t="n">
        <v>8</v>
      </c>
      <c r="G41" s="3" t="n">
        <v>168</v>
      </c>
      <c r="H41" s="4" t="n">
        <v>-8</v>
      </c>
      <c r="I41" s="3" t="inlineStr">
        <is>
          <t>Helios má 8 h náhrad (dovolená/lékař) – naše docházka je nezahrnuje</t>
        </is>
      </c>
    </row>
    <row r="42">
      <c r="A42" s="2" t="inlineStr">
        <is>
          <t>ES</t>
        </is>
      </c>
      <c r="B42" s="2" t="inlineStr">
        <is>
          <t>147</t>
        </is>
      </c>
      <c r="C42" s="2" t="inlineStr">
        <is>
          <t>Zdeněk Diviš</t>
        </is>
      </c>
      <c r="D42" s="3" t="n">
        <v>152</v>
      </c>
      <c r="E42" s="3" t="n">
        <v>164</v>
      </c>
      <c r="F42" s="3" t="n">
        <v>4</v>
      </c>
      <c r="G42" s="3" t="n">
        <v>168</v>
      </c>
      <c r="H42" s="4" t="n">
        <v>-12</v>
      </c>
      <c r="I42" s="3" t="inlineStr">
        <is>
          <t>Helios má 4 h náhrad (dovolená/lékař) – naše docházka je nezahrnuje</t>
        </is>
      </c>
    </row>
    <row r="43">
      <c r="A43" s="2" t="inlineStr">
        <is>
          <t>ES</t>
        </is>
      </c>
      <c r="B43" s="2" t="inlineStr">
        <is>
          <t>48</t>
        </is>
      </c>
      <c r="C43" s="2" t="inlineStr">
        <is>
          <t>Zdeněk Čepický</t>
        </is>
      </c>
      <c r="D43" s="3" t="n">
        <v>152</v>
      </c>
      <c r="E43" s="3" t="n">
        <v>168</v>
      </c>
      <c r="F43" s="3" t="n">
        <v>0</v>
      </c>
      <c r="G43" s="3" t="n">
        <v>168</v>
      </c>
      <c r="H43" s="4" t="n">
        <v>-16</v>
      </c>
      <c r="I43" s="3" t="inlineStr">
        <is>
          <t>rozdíl ≈ svátky (16 h placeno navíc nominálně)</t>
        </is>
      </c>
    </row>
    <row r="44">
      <c r="A44" s="2" t="inlineStr">
        <is>
          <t>ES</t>
        </is>
      </c>
      <c r="B44" s="2" t="inlineStr">
        <is>
          <t>50</t>
        </is>
      </c>
      <c r="C44" s="2" t="inlineStr">
        <is>
          <t>Zuzana Duspivová</t>
        </is>
      </c>
      <c r="D44" s="3" t="n">
        <v>152</v>
      </c>
      <c r="E44" s="3" t="n">
        <v>168</v>
      </c>
      <c r="F44" s="3" t="n">
        <v>0</v>
      </c>
      <c r="G44" s="3" t="n">
        <v>168</v>
      </c>
      <c r="H44" s="4" t="n">
        <v>-16</v>
      </c>
      <c r="I44" s="3" t="inlineStr">
        <is>
          <t>rozdíl ≈ svátky (16 h placeno navíc nominálně)</t>
        </is>
      </c>
    </row>
    <row r="45">
      <c r="A45" s="2" t="inlineStr">
        <is>
          <t>ES</t>
        </is>
      </c>
      <c r="B45" s="2" t="inlineStr">
        <is>
          <t>16</t>
        </is>
      </c>
      <c r="C45" s="2" t="inlineStr">
        <is>
          <t>Šárka Novotná</t>
        </is>
      </c>
      <c r="D45" s="3" t="n">
        <v>133</v>
      </c>
      <c r="E45" s="3" t="n">
        <v>147</v>
      </c>
      <c r="F45" s="3" t="n">
        <v>0</v>
      </c>
      <c r="G45" s="3" t="n">
        <v>147</v>
      </c>
      <c r="H45" s="4" t="n">
        <v>-14</v>
      </c>
      <c r="I45" s="3" t="inlineStr">
        <is>
          <t>rozdíl ≈ svátky (14 h placeno navíc nominálně)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6" t="inlineStr">
        <is>
          <t>2. PRŮCHOD – HODINY (květen 2026)</t>
        </is>
      </c>
      <c r="B1" s="7" t="inlineStr"/>
    </row>
    <row r="2">
      <c r="A2" s="8" t="inlineStr"/>
      <c r="B2" s="7" t="inlineStr"/>
    </row>
    <row r="3">
      <c r="A3" s="9" t="inlineStr">
        <is>
          <t>Naše docházka</t>
        </is>
      </c>
      <c r="B3" s="7" t="inlineStr">
        <is>
          <t>work + overhead z att_entry; plný měsíc = 152 h (19 prac. dnů, květen má 2 svátky)</t>
        </is>
      </c>
    </row>
    <row r="4">
      <c r="A4" s="9" t="inlineStr">
        <is>
          <t>Helios placeno</t>
        </is>
      </c>
      <c r="B4" s="7" t="inlineStr">
        <is>
          <t>odpracováno (zákl. mzda) + náhrady (dovolená/lékař) = nominální fond 168 h</t>
        </is>
      </c>
    </row>
    <row r="5">
      <c r="A5" s="9" t="inlineStr">
        <is>
          <t>Rozdíl 16 h u plných úvazků</t>
        </is>
      </c>
      <c r="B5" s="7">
        <f> 2 státní svátky – Helios je platí jako odpracované, naše docházka je nemá</f>
        <v/>
      </c>
    </row>
    <row r="6">
      <c r="A6" s="9" t="inlineStr">
        <is>
          <t>Závěr pro výpočet</t>
        </is>
      </c>
      <c r="B6" s="7" t="inlineStr">
        <is>
          <t>náš engine musí: (1) doplnit svátkové hodiny do fondu, (2) náhrady (dovolená/lékař) z absencí, (3) krátit paušál podle skutečně odpracovaných</t>
        </is>
      </c>
    </row>
    <row r="7">
      <c r="A7" s="8" t="inlineStr"/>
      <c r="B7" s="7" t="inlineStr"/>
    </row>
    <row r="8">
      <c r="A8" s="9" t="inlineStr">
        <is>
          <t>Pohyblivé složky (osobní ohod./prémie)</t>
        </is>
      </c>
      <c r="B8" s="7" t="inlineStr">
        <is>
          <t>vysvětluje Landmark mechanismus (viz docs/mzdy_priplatky_srazky_mirror.md):</t>
        </is>
      </c>
    </row>
    <row r="9">
      <c r="A9" s="9" t="inlineStr">
        <is>
          <t xml:space="preserve">  Korekce os. ohodnocení</t>
        </is>
      </c>
      <c r="B9" s="7" t="inlineStr">
        <is>
          <t>záporná srážka z osobního ohodnocení</t>
        </is>
      </c>
    </row>
    <row r="10">
      <c r="A10" s="9" t="inlineStr">
        <is>
          <t xml:space="preserve">  → Náhrada oblečení + Náhrada HO</t>
        </is>
      </c>
      <c r="B10" s="7" t="inlineStr">
        <is>
          <t>daňově úsporný přesun (negross složky 794/795)</t>
        </is>
      </c>
    </row>
    <row r="11">
      <c r="A11" s="9" t="inlineStr">
        <is>
          <t xml:space="preserve">  Odměny VP / Jednorázové / Cesťák</t>
        </is>
      </c>
      <c r="B11" s="7" t="inlineStr">
        <is>
          <t>příplatky; Telefon = srážka</t>
        </is>
      </c>
    </row>
    <row r="12">
      <c r="A12" s="9" t="inlineStr">
        <is>
          <t>Zbývá k dorovnání složek</t>
        </is>
      </c>
      <c r="B12" s="7" t="inlineStr">
        <is>
          <t>Heliosův paušál base (EC_FinZamPodminky / hp_VlozMzPausDoMzSloz) – náš migrovaný wage_component je místy zastaralý → systémově s Marti-AI + Šárka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2026-06-10T12:56:16Z</dcterms:created>
  <dcterms:modified xmlns:dcterms="http://purl.org/dc/terms/" xmlns:xsi="http://www.w3.org/2001/XMLSchema-instance" xsi:type="dcterms:W3CDTF">2026-06-10T12:56:16Z</dcterms:modified>
</cp:coreProperties>
</file>