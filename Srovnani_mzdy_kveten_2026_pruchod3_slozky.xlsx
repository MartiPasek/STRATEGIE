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žky KVĚTEN" sheetId="1" state="visible" r:id="rId1"/>
    <sheet xmlns:r="http://schemas.openxmlformats.org/officeDocument/2006/relationships" name="Jak to dorov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12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0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Firma</t>
        </is>
      </c>
      <c r="B1" s="1" t="inlineStr">
        <is>
          <t>Os.č.</t>
        </is>
      </c>
      <c r="C1" s="1" t="inlineStr">
        <is>
          <t>Jméno</t>
        </is>
      </c>
      <c r="D1" s="1" t="inlineStr">
        <is>
          <t>Náš základ</t>
        </is>
      </c>
      <c r="E1" s="1" t="inlineStr">
        <is>
          <t>Náš os.ohod.</t>
        </is>
      </c>
      <c r="F1" s="1" t="inlineStr">
        <is>
          <t>Náš premie(rozp.)</t>
        </is>
      </c>
      <c r="G1" s="1" t="inlineStr">
        <is>
          <t>Pohyb: korekce os.ohod.</t>
        </is>
      </c>
      <c r="H1" s="1" t="inlineStr">
        <is>
          <t>Pohyb: odměny VP</t>
        </is>
      </c>
      <c r="I1" s="1" t="inlineStr">
        <is>
          <t>Pohyb: oblečení</t>
        </is>
      </c>
      <c r="J1" s="1" t="inlineStr">
        <is>
          <t>Pohyb: HO</t>
        </is>
      </c>
      <c r="K1" s="1" t="inlineStr">
        <is>
          <t>Pohyb: cestovné</t>
        </is>
      </c>
      <c r="L1" s="1" t="inlineStr">
        <is>
          <t>Pohyb: tel.srážka</t>
        </is>
      </c>
      <c r="M1" s="1" t="inlineStr">
        <is>
          <t>Helios základ</t>
        </is>
      </c>
      <c r="N1" s="1" t="inlineStr">
        <is>
          <t>Helios os.ohod.</t>
        </is>
      </c>
      <c r="O1" s="1" t="inlineStr">
        <is>
          <t>Helios prémie</t>
        </is>
      </c>
      <c r="P1" s="1" t="inlineStr">
        <is>
          <t>Helios společník</t>
        </is>
      </c>
      <c r="Q1" s="1" t="inlineStr">
        <is>
          <t>Pozn.</t>
        </is>
      </c>
    </row>
    <row r="2">
      <c r="A2" s="2" t="inlineStr">
        <is>
          <t>EC</t>
        </is>
      </c>
      <c r="B2" s="2" t="inlineStr">
        <is>
          <t>475</t>
        </is>
      </c>
      <c r="C2" s="2" t="inlineStr">
        <is>
          <t>Andrea Bernardová</t>
        </is>
      </c>
      <c r="D2" s="3" t="n">
        <v>22491</v>
      </c>
      <c r="E2" s="3" t="n">
        <v>10681</v>
      </c>
      <c r="F2" s="3" t="n">
        <v>0</v>
      </c>
      <c r="G2" s="4" t="n">
        <v>-3934</v>
      </c>
      <c r="H2" s="4" t="n">
        <v>0</v>
      </c>
      <c r="I2" s="4" t="n">
        <v>2214</v>
      </c>
      <c r="J2" s="4" t="n">
        <v>1591</v>
      </c>
      <c r="K2" s="4" t="n">
        <v>0</v>
      </c>
      <c r="L2" s="4" t="n">
        <v>-83</v>
      </c>
      <c r="M2" s="5" t="n">
        <v>21822</v>
      </c>
      <c r="N2" s="5" t="n">
        <v>110</v>
      </c>
      <c r="O2" s="5" t="n">
        <v>0</v>
      </c>
      <c r="P2" s="5" t="n">
        <v>0</v>
      </c>
      <c r="Q2" s="2" t="inlineStr">
        <is>
          <t>Landmark: korekce ≈ −(oblečení+HO) ✓</t>
        </is>
      </c>
    </row>
    <row r="3">
      <c r="A3" s="2" t="inlineStr">
        <is>
          <t>EC</t>
        </is>
      </c>
      <c r="B3" s="2" t="inlineStr">
        <is>
          <t>47</t>
        </is>
      </c>
      <c r="C3" s="2" t="inlineStr">
        <is>
          <t>Branislav Mózer</t>
        </is>
      </c>
      <c r="D3" s="3" t="n">
        <v>0</v>
      </c>
      <c r="E3" s="3" t="n">
        <v>0</v>
      </c>
      <c r="F3" s="3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5" t="n">
        <v>0</v>
      </c>
      <c r="P3" s="5" t="n">
        <v>22500</v>
      </c>
      <c r="Q3" s="2" t="inlineStr"/>
    </row>
    <row r="4">
      <c r="A4" s="2" t="inlineStr">
        <is>
          <t>EC</t>
        </is>
      </c>
      <c r="B4" s="2" t="inlineStr">
        <is>
          <t>24</t>
        </is>
      </c>
      <c r="C4" s="2" t="inlineStr">
        <is>
          <t>Eliška Kolářová</t>
        </is>
      </c>
      <c r="D4" s="3" t="n">
        <v>39200</v>
      </c>
      <c r="E4" s="3" t="n">
        <v>7500</v>
      </c>
      <c r="F4" s="3" t="n">
        <v>0</v>
      </c>
      <c r="G4" s="4" t="n">
        <v>-4346</v>
      </c>
      <c r="H4" s="4" t="n">
        <v>2427</v>
      </c>
      <c r="I4" s="4" t="n">
        <v>1962</v>
      </c>
      <c r="J4" s="4" t="n">
        <v>1763</v>
      </c>
      <c r="K4" s="4" t="n">
        <v>0</v>
      </c>
      <c r="L4" s="4" t="n">
        <v>0</v>
      </c>
      <c r="M4" s="5" t="n">
        <v>33600</v>
      </c>
      <c r="N4" s="5" t="n">
        <v>2703</v>
      </c>
      <c r="O4" s="5" t="n">
        <v>2427</v>
      </c>
      <c r="P4" s="5" t="n">
        <v>0</v>
      </c>
      <c r="Q4" s="2" t="inlineStr">
        <is>
          <t>Landmark netto -621</t>
        </is>
      </c>
    </row>
    <row r="5">
      <c r="A5" s="2" t="inlineStr">
        <is>
          <t>EC</t>
        </is>
      </c>
      <c r="B5" s="2" t="inlineStr">
        <is>
          <t>420</t>
        </is>
      </c>
      <c r="C5" s="2" t="inlineStr">
        <is>
          <t>Ivana Honomichlová</t>
        </is>
      </c>
      <c r="D5" s="3" t="n">
        <v>30500</v>
      </c>
      <c r="E5" s="3" t="n">
        <v>7500</v>
      </c>
      <c r="F5" s="3" t="n">
        <v>0</v>
      </c>
      <c r="G5" s="4" t="n">
        <v>-4353</v>
      </c>
      <c r="H5" s="4" t="n">
        <v>0</v>
      </c>
      <c r="I5" s="4" t="n">
        <v>2289</v>
      </c>
      <c r="J5" s="4" t="n">
        <v>2064</v>
      </c>
      <c r="K5" s="4" t="n">
        <v>0</v>
      </c>
      <c r="L5" s="4" t="n">
        <v>-9</v>
      </c>
      <c r="M5" s="5" t="n">
        <v>30500</v>
      </c>
      <c r="N5" s="5" t="n">
        <v>2406</v>
      </c>
      <c r="O5" s="5" t="n">
        <v>0</v>
      </c>
      <c r="P5" s="5" t="n">
        <v>0</v>
      </c>
      <c r="Q5" s="2" t="inlineStr">
        <is>
          <t>Landmark: korekce ≈ −(oblečení+HO) ✓</t>
        </is>
      </c>
    </row>
    <row r="6">
      <c r="A6" s="2" t="inlineStr">
        <is>
          <t>EC</t>
        </is>
      </c>
      <c r="B6" s="2" t="inlineStr">
        <is>
          <t>532</t>
        </is>
      </c>
      <c r="C6" s="2" t="inlineStr">
        <is>
          <t>Jakub Kasal</t>
        </is>
      </c>
      <c r="D6" s="3" t="n">
        <v>32500</v>
      </c>
      <c r="E6" s="3" t="n">
        <v>7500</v>
      </c>
      <c r="F6" s="3" t="n">
        <v>0</v>
      </c>
      <c r="G6" s="4" t="n">
        <v>-5859</v>
      </c>
      <c r="H6" s="4" t="n">
        <v>0</v>
      </c>
      <c r="I6" s="4" t="n">
        <v>4394</v>
      </c>
      <c r="J6" s="4" t="n">
        <v>0</v>
      </c>
      <c r="K6" s="4" t="n">
        <v>0</v>
      </c>
      <c r="L6" s="4" t="n">
        <v>0</v>
      </c>
      <c r="M6" s="5" t="n">
        <v>24317</v>
      </c>
      <c r="N6" s="5" t="n">
        <v>1228</v>
      </c>
      <c r="O6" s="5" t="n">
        <v>0</v>
      </c>
      <c r="P6" s="5" t="n">
        <v>0</v>
      </c>
      <c r="Q6" s="2" t="inlineStr">
        <is>
          <t>Landmark netto -1465</t>
        </is>
      </c>
    </row>
    <row r="7">
      <c r="A7" s="2" t="inlineStr">
        <is>
          <t>EC</t>
        </is>
      </c>
      <c r="B7" s="2" t="inlineStr">
        <is>
          <t>536</t>
        </is>
      </c>
      <c r="C7" s="2" t="inlineStr">
        <is>
          <t>Jan Peřina</t>
        </is>
      </c>
      <c r="D7" s="3" t="n">
        <v>35500</v>
      </c>
      <c r="E7" s="3" t="n">
        <v>7500</v>
      </c>
      <c r="F7" s="3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35500</v>
      </c>
      <c r="N7" s="5" t="n">
        <v>7500</v>
      </c>
      <c r="O7" s="5" t="n">
        <v>20</v>
      </c>
      <c r="P7" s="5" t="n">
        <v>0</v>
      </c>
      <c r="Q7" s="2" t="inlineStr"/>
    </row>
    <row r="8">
      <c r="A8" s="2" t="inlineStr">
        <is>
          <t>EC</t>
        </is>
      </c>
      <c r="B8" s="2" t="inlineStr">
        <is>
          <t>435</t>
        </is>
      </c>
      <c r="C8" s="2" t="inlineStr">
        <is>
          <t>Jan Svatoš</t>
        </is>
      </c>
      <c r="D8" s="3" t="n">
        <v>40500</v>
      </c>
      <c r="E8" s="3" t="n">
        <v>7500</v>
      </c>
      <c r="F8" s="3" t="n">
        <v>0</v>
      </c>
      <c r="G8" s="4" t="n">
        <v>-5859</v>
      </c>
      <c r="H8" s="4" t="n">
        <v>0</v>
      </c>
      <c r="I8" s="4" t="n">
        <v>5859</v>
      </c>
      <c r="J8" s="4" t="n">
        <v>0</v>
      </c>
      <c r="K8" s="4" t="n">
        <v>0</v>
      </c>
      <c r="L8" s="4" t="n">
        <v>-267</v>
      </c>
      <c r="M8" s="5" t="n">
        <v>40500</v>
      </c>
      <c r="N8" s="5" t="n">
        <v>1641</v>
      </c>
      <c r="O8" s="5" t="n">
        <v>335</v>
      </c>
      <c r="P8" s="5" t="n">
        <v>0</v>
      </c>
      <c r="Q8" s="2" t="inlineStr">
        <is>
          <t>Landmark: korekce ≈ −(oblečení+HO) ✓</t>
        </is>
      </c>
    </row>
    <row r="9">
      <c r="A9" s="2" t="inlineStr">
        <is>
          <t>EC</t>
        </is>
      </c>
      <c r="B9" s="2" t="inlineStr">
        <is>
          <t>14</t>
        </is>
      </c>
      <c r="C9" s="2" t="inlineStr">
        <is>
          <t>Jiří Veverka</t>
        </is>
      </c>
      <c r="D9" s="3" t="n">
        <v>61500</v>
      </c>
      <c r="E9" s="3" t="n">
        <v>7500</v>
      </c>
      <c r="F9" s="3" t="n">
        <v>16000</v>
      </c>
      <c r="G9" s="4" t="n">
        <v>-4353</v>
      </c>
      <c r="H9" s="4" t="n">
        <v>4463</v>
      </c>
      <c r="I9" s="4" t="n">
        <v>2289</v>
      </c>
      <c r="J9" s="4" t="n">
        <v>2064</v>
      </c>
      <c r="K9" s="4" t="n">
        <v>0</v>
      </c>
      <c r="L9" s="4" t="n">
        <v>0</v>
      </c>
      <c r="M9" s="5" t="n">
        <v>61500</v>
      </c>
      <c r="N9" s="5" t="n">
        <v>11147</v>
      </c>
      <c r="O9" s="5" t="n">
        <v>4463</v>
      </c>
      <c r="P9" s="5" t="n">
        <v>0</v>
      </c>
      <c r="Q9" s="2" t="inlineStr">
        <is>
          <t>Landmark: korekce ≈ −(oblečení+HO) ✓</t>
        </is>
      </c>
    </row>
    <row r="10">
      <c r="A10" s="2" t="inlineStr">
        <is>
          <t>EC</t>
        </is>
      </c>
      <c r="B10" s="2" t="inlineStr">
        <is>
          <t>361</t>
        </is>
      </c>
      <c r="C10" s="2" t="inlineStr">
        <is>
          <t>Klára Vlková</t>
        </is>
      </c>
      <c r="D10" s="3" t="n">
        <v>20400</v>
      </c>
      <c r="E10" s="3" t="n">
        <v>40300</v>
      </c>
      <c r="F10" s="3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20400</v>
      </c>
      <c r="N10" s="5" t="n">
        <v>2362</v>
      </c>
      <c r="O10" s="5" t="n">
        <v>0</v>
      </c>
      <c r="P10" s="5" t="n">
        <v>0</v>
      </c>
      <c r="Q10" s="2" t="inlineStr"/>
    </row>
    <row r="11">
      <c r="A11" s="2" t="inlineStr">
        <is>
          <t>EC</t>
        </is>
      </c>
      <c r="B11" s="2" t="inlineStr">
        <is>
          <t>465</t>
        </is>
      </c>
      <c r="C11" s="2" t="inlineStr">
        <is>
          <t>Luboš Trunec</t>
        </is>
      </c>
      <c r="D11" s="3" t="n">
        <v>41500</v>
      </c>
      <c r="E11" s="3" t="n">
        <v>6500</v>
      </c>
      <c r="F11" s="3" t="n">
        <v>3000</v>
      </c>
      <c r="G11" s="4" t="n">
        <v>-5859</v>
      </c>
      <c r="H11" s="4" t="n">
        <v>0</v>
      </c>
      <c r="I11" s="4" t="n">
        <v>5859</v>
      </c>
      <c r="J11" s="4" t="n">
        <v>0</v>
      </c>
      <c r="K11" s="4" t="n">
        <v>0</v>
      </c>
      <c r="L11" s="4" t="n">
        <v>0</v>
      </c>
      <c r="M11" s="5" t="n">
        <v>41500</v>
      </c>
      <c r="N11" s="5" t="n">
        <v>3641</v>
      </c>
      <c r="O11" s="5" t="n">
        <v>1470</v>
      </c>
      <c r="P11" s="5" t="n">
        <v>0</v>
      </c>
      <c r="Q11" s="2" t="inlineStr">
        <is>
          <t>Landmark: korekce ≈ −(oblečení+HO) ✓</t>
        </is>
      </c>
    </row>
    <row r="12">
      <c r="A12" s="2" t="inlineStr">
        <is>
          <t>EC</t>
        </is>
      </c>
      <c r="B12" s="2" t="inlineStr">
        <is>
          <t>2</t>
        </is>
      </c>
      <c r="C12" s="2" t="inlineStr">
        <is>
          <t>Marti Pašek</t>
        </is>
      </c>
      <c r="D12" s="3" t="n">
        <v>0</v>
      </c>
      <c r="E12" s="3" t="n">
        <v>0</v>
      </c>
      <c r="F12" s="3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5" t="n">
        <v>0</v>
      </c>
      <c r="P12" s="5" t="n">
        <v>90800</v>
      </c>
      <c r="Q12" s="2" t="inlineStr"/>
    </row>
    <row r="13">
      <c r="A13" s="2" t="inlineStr">
        <is>
          <t>EC</t>
        </is>
      </c>
      <c r="B13" s="2" t="inlineStr">
        <is>
          <t>456</t>
        </is>
      </c>
      <c r="C13" s="2" t="inlineStr">
        <is>
          <t>Martin Króner</t>
        </is>
      </c>
      <c r="D13" s="3" t="n">
        <v>37820</v>
      </c>
      <c r="E13" s="3" t="n">
        <v>7500</v>
      </c>
      <c r="F13" s="3" t="n">
        <v>0</v>
      </c>
      <c r="G13" s="4" t="n">
        <v>-5859</v>
      </c>
      <c r="H13" s="4" t="n">
        <v>0</v>
      </c>
      <c r="I13" s="4" t="n">
        <v>3069</v>
      </c>
      <c r="J13" s="4" t="n">
        <v>0</v>
      </c>
      <c r="K13" s="4" t="n">
        <v>0</v>
      </c>
      <c r="L13" s="4" t="n">
        <v>-5</v>
      </c>
      <c r="M13" s="5" t="n">
        <v>19810</v>
      </c>
      <c r="N13" s="5" t="n">
        <v>860</v>
      </c>
      <c r="O13" s="5" t="n">
        <v>0</v>
      </c>
      <c r="P13" s="5" t="n">
        <v>0</v>
      </c>
      <c r="Q13" s="2" t="inlineStr">
        <is>
          <t>Landmark netto -2790</t>
        </is>
      </c>
    </row>
    <row r="14">
      <c r="A14" s="2" t="inlineStr">
        <is>
          <t>EC</t>
        </is>
      </c>
      <c r="B14" s="2" t="inlineStr">
        <is>
          <t>533</t>
        </is>
      </c>
      <c r="C14" s="2" t="inlineStr">
        <is>
          <t>Martin Porner</t>
        </is>
      </c>
      <c r="D14" s="3" t="n">
        <v>34500</v>
      </c>
      <c r="E14" s="3" t="n">
        <v>6500</v>
      </c>
      <c r="F14" s="3" t="n">
        <v>0</v>
      </c>
      <c r="G14" s="4" t="n">
        <v>-5859</v>
      </c>
      <c r="H14" s="4" t="n">
        <v>0</v>
      </c>
      <c r="I14" s="4" t="n">
        <v>5859</v>
      </c>
      <c r="J14" s="4" t="n">
        <v>0</v>
      </c>
      <c r="K14" s="4" t="n">
        <v>2790</v>
      </c>
      <c r="L14" s="4" t="n">
        <v>0</v>
      </c>
      <c r="M14" s="5" t="n">
        <v>34500</v>
      </c>
      <c r="N14" s="5" t="n">
        <v>641</v>
      </c>
      <c r="O14" s="5" t="n">
        <v>50</v>
      </c>
      <c r="P14" s="5" t="n">
        <v>0</v>
      </c>
      <c r="Q14" s="2" t="inlineStr">
        <is>
          <t>Landmark: korekce ≈ −(oblečení+HO) ✓</t>
        </is>
      </c>
    </row>
    <row r="15">
      <c r="A15" s="2" t="inlineStr">
        <is>
          <t>EC</t>
        </is>
      </c>
      <c r="B15" s="2" t="inlineStr">
        <is>
          <t>374</t>
        </is>
      </c>
      <c r="C15" s="2" t="inlineStr">
        <is>
          <t>Ondřej Senft</t>
        </is>
      </c>
      <c r="D15" s="3" t="n">
        <v>9000</v>
      </c>
      <c r="E15" s="3" t="n">
        <v>0</v>
      </c>
      <c r="F15" s="3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2" t="inlineStr"/>
    </row>
    <row r="16">
      <c r="A16" s="2" t="inlineStr">
        <is>
          <t>EC</t>
        </is>
      </c>
      <c r="B16" s="2" t="inlineStr">
        <is>
          <t>40</t>
        </is>
      </c>
      <c r="C16" s="2" t="inlineStr">
        <is>
          <t>Pavel Zeman</t>
        </is>
      </c>
      <c r="D16" s="3" t="n">
        <v>59500</v>
      </c>
      <c r="E16" s="3" t="n">
        <v>7500</v>
      </c>
      <c r="F16" s="3" t="n">
        <v>0</v>
      </c>
      <c r="G16" s="4" t="n">
        <v>-5035</v>
      </c>
      <c r="H16" s="4" t="n">
        <v>0</v>
      </c>
      <c r="I16" s="4" t="n">
        <v>2275</v>
      </c>
      <c r="J16" s="4" t="n">
        <v>2731</v>
      </c>
      <c r="K16" s="4" t="n">
        <v>1470</v>
      </c>
      <c r="L16" s="4" t="n">
        <v>-33</v>
      </c>
      <c r="M16" s="5" t="n">
        <v>59086</v>
      </c>
      <c r="N16" s="5" t="n">
        <v>2448</v>
      </c>
      <c r="O16" s="5" t="n">
        <v>0</v>
      </c>
      <c r="P16" s="5" t="n">
        <v>0</v>
      </c>
      <c r="Q16" s="2" t="inlineStr">
        <is>
          <t>Landmark: korekce ≈ −(oblečení+HO) ✓</t>
        </is>
      </c>
    </row>
    <row r="17">
      <c r="A17" s="2" t="inlineStr">
        <is>
          <t>EC</t>
        </is>
      </c>
      <c r="B17" s="2" t="inlineStr">
        <is>
          <t>525</t>
        </is>
      </c>
      <c r="C17" s="2" t="inlineStr">
        <is>
          <t>Světlana Herejtová</t>
        </is>
      </c>
      <c r="D17" s="3" t="n">
        <v>4000</v>
      </c>
      <c r="E17" s="3" t="n">
        <v>0</v>
      </c>
      <c r="F17" s="3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2" t="inlineStr"/>
    </row>
    <row r="18">
      <c r="A18" s="2" t="inlineStr">
        <is>
          <t>EC</t>
        </is>
      </c>
      <c r="B18" s="2" t="inlineStr">
        <is>
          <t>472</t>
        </is>
      </c>
      <c r="C18" s="2" t="inlineStr">
        <is>
          <t>Vladimír Navrátil</t>
        </is>
      </c>
      <c r="D18" s="3" t="n">
        <v>29200</v>
      </c>
      <c r="E18" s="3" t="n">
        <v>7500</v>
      </c>
      <c r="F18" s="3" t="n">
        <v>0</v>
      </c>
      <c r="G18" s="4" t="n">
        <v>-5859</v>
      </c>
      <c r="H18" s="4" t="n">
        <v>0</v>
      </c>
      <c r="I18" s="4" t="n">
        <v>5859</v>
      </c>
      <c r="J18" s="4" t="n">
        <v>0</v>
      </c>
      <c r="K18" s="4" t="n">
        <v>0</v>
      </c>
      <c r="L18" s="4" t="n">
        <v>0</v>
      </c>
      <c r="M18" s="5" t="n">
        <v>29200</v>
      </c>
      <c r="N18" s="5" t="n">
        <v>1641</v>
      </c>
      <c r="O18" s="5" t="n">
        <v>400</v>
      </c>
      <c r="P18" s="5" t="n">
        <v>0</v>
      </c>
      <c r="Q18" s="2" t="inlineStr">
        <is>
          <t>Landmark: korekce ≈ −(oblečení+HO) ✓</t>
        </is>
      </c>
    </row>
    <row r="19">
      <c r="A19" s="2" t="inlineStr">
        <is>
          <t>ES</t>
        </is>
      </c>
      <c r="B19" s="2" t="inlineStr">
        <is>
          <t>322</t>
        </is>
      </c>
      <c r="C19" s="2" t="inlineStr">
        <is>
          <t>Erika Sedláčková</t>
        </is>
      </c>
      <c r="D19" s="3" t="n">
        <v>31000</v>
      </c>
      <c r="E19" s="3" t="n">
        <v>7500</v>
      </c>
      <c r="F19" s="3" t="n">
        <v>0</v>
      </c>
      <c r="G19" s="4" t="n">
        <v>-5859</v>
      </c>
      <c r="H19" s="4" t="n">
        <v>0</v>
      </c>
      <c r="I19" s="4" t="n">
        <v>5859</v>
      </c>
      <c r="J19" s="4" t="n">
        <v>0</v>
      </c>
      <c r="K19" s="4" t="n">
        <v>0</v>
      </c>
      <c r="L19" s="4" t="n">
        <v>0</v>
      </c>
      <c r="M19" s="5" t="n">
        <v>31000</v>
      </c>
      <c r="N19" s="5" t="n">
        <v>1641</v>
      </c>
      <c r="O19" s="5" t="n">
        <v>85</v>
      </c>
      <c r="P19" s="5" t="n">
        <v>0</v>
      </c>
      <c r="Q19" s="2" t="inlineStr">
        <is>
          <t>Landmark: korekce ≈ −(oblečení+HO) ✓</t>
        </is>
      </c>
    </row>
    <row r="20">
      <c r="A20" s="2" t="inlineStr">
        <is>
          <t>ES</t>
        </is>
      </c>
      <c r="B20" s="2" t="inlineStr">
        <is>
          <t>489</t>
        </is>
      </c>
      <c r="C20" s="2" t="inlineStr">
        <is>
          <t>Ilona Nepodalová</t>
        </is>
      </c>
      <c r="D20" s="3" t="n">
        <v>24700</v>
      </c>
      <c r="E20" s="3" t="n">
        <v>7500</v>
      </c>
      <c r="F20" s="3" t="n">
        <v>0</v>
      </c>
      <c r="G20" s="4" t="n">
        <v>-2289</v>
      </c>
      <c r="H20" s="4" t="n">
        <v>0</v>
      </c>
      <c r="I20" s="4" t="n">
        <v>2289</v>
      </c>
      <c r="J20" s="4" t="n">
        <v>0</v>
      </c>
      <c r="K20" s="4" t="n">
        <v>0</v>
      </c>
      <c r="L20" s="4" t="n">
        <v>0</v>
      </c>
      <c r="M20" s="5" t="n">
        <v>24700</v>
      </c>
      <c r="N20" s="5" t="n">
        <v>5211</v>
      </c>
      <c r="O20" s="5" t="n">
        <v>0</v>
      </c>
      <c r="P20" s="5" t="n">
        <v>0</v>
      </c>
      <c r="Q20" s="2" t="inlineStr">
        <is>
          <t>Landmark: korekce ≈ −(oblečení+HO) ✓</t>
        </is>
      </c>
    </row>
    <row r="21">
      <c r="A21" s="2" t="inlineStr">
        <is>
          <t>ES</t>
        </is>
      </c>
      <c r="B21" s="2" t="inlineStr">
        <is>
          <t>442</t>
        </is>
      </c>
      <c r="C21" s="2" t="inlineStr">
        <is>
          <t>Iva Hrůzová</t>
        </is>
      </c>
      <c r="D21" s="3" t="n">
        <v>27000</v>
      </c>
      <c r="E21" s="3" t="n">
        <v>7500</v>
      </c>
      <c r="F21" s="3" t="n">
        <v>0</v>
      </c>
      <c r="G21" s="4" t="n">
        <v>-2289</v>
      </c>
      <c r="H21" s="4" t="n">
        <v>0</v>
      </c>
      <c r="I21" s="4" t="n">
        <v>2139</v>
      </c>
      <c r="J21" s="4" t="n">
        <v>0</v>
      </c>
      <c r="K21" s="4" t="n">
        <v>0</v>
      </c>
      <c r="L21" s="4" t="n">
        <v>0</v>
      </c>
      <c r="M21" s="5" t="n">
        <v>25300</v>
      </c>
      <c r="N21" s="5" t="n">
        <v>4883</v>
      </c>
      <c r="O21" s="5" t="n">
        <v>0</v>
      </c>
      <c r="P21" s="5" t="n">
        <v>0</v>
      </c>
      <c r="Q21" s="2" t="inlineStr">
        <is>
          <t>Landmark: korekce ≈ −(oblečení+HO) ✓</t>
        </is>
      </c>
    </row>
    <row r="22">
      <c r="A22" s="2" t="inlineStr">
        <is>
          <t>ES</t>
        </is>
      </c>
      <c r="B22" s="2" t="inlineStr">
        <is>
          <t>356</t>
        </is>
      </c>
      <c r="C22" s="2" t="inlineStr">
        <is>
          <t>Ivana Brudnová</t>
        </is>
      </c>
      <c r="D22" s="3" t="n">
        <v>23200</v>
      </c>
      <c r="E22" s="3" t="n">
        <v>11500</v>
      </c>
      <c r="F22" s="3" t="n">
        <v>0</v>
      </c>
      <c r="G22" s="4" t="n">
        <v>-5859</v>
      </c>
      <c r="H22" s="4" t="n">
        <v>0</v>
      </c>
      <c r="I22" s="4" t="n">
        <v>5859</v>
      </c>
      <c r="J22" s="4" t="n">
        <v>0</v>
      </c>
      <c r="K22" s="4" t="n">
        <v>0</v>
      </c>
      <c r="L22" s="4" t="n">
        <v>0</v>
      </c>
      <c r="M22" s="5" t="n">
        <v>23200</v>
      </c>
      <c r="N22" s="5" t="n">
        <v>1303</v>
      </c>
      <c r="O22" s="5" t="n">
        <v>1040</v>
      </c>
      <c r="P22" s="5" t="n">
        <v>0</v>
      </c>
      <c r="Q22" s="2" t="inlineStr">
        <is>
          <t>Landmark: korekce ≈ −(oblečení+HO) ✓</t>
        </is>
      </c>
    </row>
    <row r="23">
      <c r="A23" s="2" t="inlineStr">
        <is>
          <t>ES</t>
        </is>
      </c>
      <c r="B23" s="2" t="inlineStr">
        <is>
          <t>502</t>
        </is>
      </c>
      <c r="C23" s="2" t="inlineStr">
        <is>
          <t>Jakub Pěchouček</t>
        </is>
      </c>
      <c r="D23" s="3" t="n">
        <v>30000</v>
      </c>
      <c r="E23" s="3" t="n">
        <v>7500</v>
      </c>
      <c r="F23" s="3" t="n">
        <v>0</v>
      </c>
      <c r="G23" s="4" t="n">
        <v>-5860</v>
      </c>
      <c r="H23" s="4" t="n">
        <v>0</v>
      </c>
      <c r="I23" s="4" t="n">
        <v>5441</v>
      </c>
      <c r="J23" s="4" t="n">
        <v>0</v>
      </c>
      <c r="K23" s="4" t="n">
        <v>0</v>
      </c>
      <c r="L23" s="4" t="n">
        <v>0</v>
      </c>
      <c r="M23" s="5" t="n">
        <v>27857</v>
      </c>
      <c r="N23" s="5" t="n">
        <v>1523</v>
      </c>
      <c r="O23" s="5" t="n">
        <v>620</v>
      </c>
      <c r="P23" s="5" t="n">
        <v>0</v>
      </c>
      <c r="Q23" s="2" t="inlineStr">
        <is>
          <t>Landmark netto -419</t>
        </is>
      </c>
    </row>
    <row r="24">
      <c r="A24" s="2" t="inlineStr">
        <is>
          <t>ES</t>
        </is>
      </c>
      <c r="B24" s="2" t="inlineStr">
        <is>
          <t>433</t>
        </is>
      </c>
      <c r="C24" s="2" t="inlineStr">
        <is>
          <t>Jana Lišková</t>
        </is>
      </c>
      <c r="D24" s="3" t="n">
        <v>28550</v>
      </c>
      <c r="E24" s="3" t="n">
        <v>7500</v>
      </c>
      <c r="F24" s="3" t="n">
        <v>0</v>
      </c>
      <c r="G24" s="4" t="n">
        <v>-5859</v>
      </c>
      <c r="H24" s="4" t="n">
        <v>0</v>
      </c>
      <c r="I24" s="4" t="n">
        <v>5859</v>
      </c>
      <c r="J24" s="4" t="n">
        <v>0</v>
      </c>
      <c r="K24" s="4" t="n">
        <v>0</v>
      </c>
      <c r="L24" s="4" t="n">
        <v>0</v>
      </c>
      <c r="M24" s="5" t="n">
        <v>28550</v>
      </c>
      <c r="N24" s="5" t="n">
        <v>1641</v>
      </c>
      <c r="O24" s="5" t="n">
        <v>575</v>
      </c>
      <c r="P24" s="5" t="n">
        <v>0</v>
      </c>
      <c r="Q24" s="2" t="inlineStr">
        <is>
          <t>Landmark: korekce ≈ −(oblečení+HO) ✓</t>
        </is>
      </c>
    </row>
    <row r="25">
      <c r="A25" s="2" t="inlineStr">
        <is>
          <t>ES</t>
        </is>
      </c>
      <c r="B25" s="2" t="inlineStr">
        <is>
          <t>488</t>
        </is>
      </c>
      <c r="C25" s="2" t="inlineStr">
        <is>
          <t>Jaroslav Švenda</t>
        </is>
      </c>
      <c r="D25" s="3" t="n">
        <v>26300</v>
      </c>
      <c r="E25" s="3" t="n">
        <v>7500</v>
      </c>
      <c r="F25" s="3" t="n">
        <v>0</v>
      </c>
      <c r="G25" s="4" t="n">
        <v>-5859</v>
      </c>
      <c r="H25" s="4" t="n">
        <v>0</v>
      </c>
      <c r="I25" s="4" t="n">
        <v>5859</v>
      </c>
      <c r="J25" s="4" t="n">
        <v>0</v>
      </c>
      <c r="K25" s="4" t="n">
        <v>0</v>
      </c>
      <c r="L25" s="4" t="n">
        <v>-267</v>
      </c>
      <c r="M25" s="5" t="n">
        <v>26300</v>
      </c>
      <c r="N25" s="5" t="n">
        <v>1641</v>
      </c>
      <c r="O25" s="5" t="n">
        <v>50</v>
      </c>
      <c r="P25" s="5" t="n">
        <v>0</v>
      </c>
      <c r="Q25" s="2" t="inlineStr">
        <is>
          <t>Landmark: korekce ≈ −(oblečení+HO) ✓</t>
        </is>
      </c>
    </row>
    <row r="26">
      <c r="A26" s="2" t="inlineStr">
        <is>
          <t>ES</t>
        </is>
      </c>
      <c r="B26" s="2" t="inlineStr">
        <is>
          <t>483</t>
        </is>
      </c>
      <c r="C26" s="2" t="inlineStr">
        <is>
          <t>Jiří Hájek</t>
        </is>
      </c>
      <c r="D26" s="3" t="n">
        <v>24000</v>
      </c>
      <c r="E26" s="3" t="n">
        <v>7500</v>
      </c>
      <c r="F26" s="3" t="n">
        <v>0</v>
      </c>
      <c r="G26" s="4" t="n">
        <v>-5859</v>
      </c>
      <c r="H26" s="4" t="n">
        <v>0</v>
      </c>
      <c r="I26" s="4" t="n">
        <v>5580</v>
      </c>
      <c r="J26" s="4" t="n">
        <v>0</v>
      </c>
      <c r="K26" s="4" t="n">
        <v>0</v>
      </c>
      <c r="L26" s="4" t="n">
        <v>0</v>
      </c>
      <c r="M26" s="5" t="n">
        <v>22857</v>
      </c>
      <c r="N26" s="5" t="n">
        <v>1563</v>
      </c>
      <c r="O26" s="5" t="n">
        <v>290</v>
      </c>
      <c r="P26" s="5" t="n">
        <v>0</v>
      </c>
      <c r="Q26" s="2" t="inlineStr">
        <is>
          <t>Landmark netto -279</t>
        </is>
      </c>
    </row>
    <row r="27">
      <c r="A27" s="2" t="inlineStr">
        <is>
          <t>ES</t>
        </is>
      </c>
      <c r="B27" s="2" t="inlineStr">
        <is>
          <t>498</t>
        </is>
      </c>
      <c r="C27" s="2" t="inlineStr">
        <is>
          <t>Josef Artim</t>
        </is>
      </c>
      <c r="D27" s="3" t="n">
        <v>30000</v>
      </c>
      <c r="E27" s="3" t="n">
        <v>7500</v>
      </c>
      <c r="F27" s="3" t="n">
        <v>0</v>
      </c>
      <c r="G27" s="4" t="n">
        <v>-5860</v>
      </c>
      <c r="H27" s="4" t="n">
        <v>0</v>
      </c>
      <c r="I27" s="4" t="n">
        <v>5162</v>
      </c>
      <c r="J27" s="4" t="n">
        <v>0</v>
      </c>
      <c r="K27" s="4" t="n">
        <v>0</v>
      </c>
      <c r="L27" s="4" t="n">
        <v>0</v>
      </c>
      <c r="M27" s="5" t="n">
        <v>26429</v>
      </c>
      <c r="N27" s="5" t="n">
        <v>1445</v>
      </c>
      <c r="O27" s="5" t="n">
        <v>50</v>
      </c>
      <c r="P27" s="5" t="n">
        <v>0</v>
      </c>
      <c r="Q27" s="2" t="inlineStr">
        <is>
          <t>Landmark netto -698</t>
        </is>
      </c>
    </row>
    <row r="28">
      <c r="A28" s="2" t="inlineStr">
        <is>
          <t>ES</t>
        </is>
      </c>
      <c r="B28" s="2" t="inlineStr">
        <is>
          <t>21</t>
        </is>
      </c>
      <c r="C28" s="2" t="inlineStr">
        <is>
          <t>Kristýna Marešová</t>
        </is>
      </c>
      <c r="D28" s="3" t="n">
        <v>48500</v>
      </c>
      <c r="E28" s="3" t="n">
        <v>7500</v>
      </c>
      <c r="F28" s="3" t="n">
        <v>0</v>
      </c>
      <c r="G28" s="4" t="n">
        <v>-4353</v>
      </c>
      <c r="H28" s="4" t="n">
        <v>0</v>
      </c>
      <c r="I28" s="4" t="n">
        <v>2289</v>
      </c>
      <c r="J28" s="4" t="n">
        <v>2064</v>
      </c>
      <c r="K28" s="4" t="n">
        <v>0</v>
      </c>
      <c r="L28" s="4" t="n">
        <v>-267</v>
      </c>
      <c r="M28" s="5" t="n">
        <v>48500</v>
      </c>
      <c r="N28" s="5" t="n">
        <v>3147</v>
      </c>
      <c r="O28" s="5" t="n">
        <v>0</v>
      </c>
      <c r="P28" s="5" t="n">
        <v>0</v>
      </c>
      <c r="Q28" s="2" t="inlineStr">
        <is>
          <t>Landmark: korekce ≈ −(oblečení+HO) ✓</t>
        </is>
      </c>
    </row>
    <row r="29">
      <c r="A29" s="2" t="inlineStr">
        <is>
          <t>ES</t>
        </is>
      </c>
      <c r="B29" s="2" t="inlineStr">
        <is>
          <t>493</t>
        </is>
      </c>
      <c r="C29" s="2" t="inlineStr">
        <is>
          <t>Lucie Jakešová</t>
        </is>
      </c>
      <c r="D29" s="3" t="n">
        <v>26000</v>
      </c>
      <c r="E29" s="3" t="n">
        <v>7500</v>
      </c>
      <c r="F29" s="3" t="n">
        <v>0</v>
      </c>
      <c r="G29" s="4" t="n">
        <v>-5859</v>
      </c>
      <c r="H29" s="4" t="n">
        <v>0</v>
      </c>
      <c r="I29" s="4" t="n">
        <v>5615</v>
      </c>
      <c r="J29" s="4" t="n">
        <v>0</v>
      </c>
      <c r="K29" s="4" t="n">
        <v>155</v>
      </c>
      <c r="L29" s="4" t="n">
        <v>-83</v>
      </c>
      <c r="M29" s="5" t="n">
        <v>24903</v>
      </c>
      <c r="N29" s="5" t="n">
        <v>1572</v>
      </c>
      <c r="O29" s="5" t="n">
        <v>1190</v>
      </c>
      <c r="P29" s="5" t="n">
        <v>0</v>
      </c>
      <c r="Q29" s="2" t="inlineStr">
        <is>
          <t>Landmark netto -244</t>
        </is>
      </c>
    </row>
    <row r="30">
      <c r="A30" s="2" t="inlineStr">
        <is>
          <t>ES</t>
        </is>
      </c>
      <c r="B30" s="2" t="inlineStr">
        <is>
          <t>46</t>
        </is>
      </c>
      <c r="C30" s="2" t="inlineStr">
        <is>
          <t>Lukáš Horký</t>
        </is>
      </c>
      <c r="D30" s="3" t="n">
        <v>47300</v>
      </c>
      <c r="E30" s="3" t="n">
        <v>7500</v>
      </c>
      <c r="F30" s="3" t="n">
        <v>0</v>
      </c>
      <c r="G30" s="4" t="n">
        <v>-4356</v>
      </c>
      <c r="H30" s="4" t="n">
        <v>120</v>
      </c>
      <c r="I30" s="4" t="n">
        <v>1880</v>
      </c>
      <c r="J30" s="4" t="n">
        <v>1699</v>
      </c>
      <c r="K30" s="4" t="n">
        <v>0</v>
      </c>
      <c r="L30" s="4" t="n">
        <v>-365</v>
      </c>
      <c r="M30" s="5" t="n">
        <v>39417</v>
      </c>
      <c r="N30" s="5" t="n">
        <v>2197</v>
      </c>
      <c r="O30" s="5" t="n">
        <v>120</v>
      </c>
      <c r="P30" s="5" t="n">
        <v>0</v>
      </c>
      <c r="Q30" s="2" t="inlineStr">
        <is>
          <t>Landmark netto -777</t>
        </is>
      </c>
    </row>
    <row r="31">
      <c r="A31" s="2" t="inlineStr">
        <is>
          <t>ES</t>
        </is>
      </c>
      <c r="B31" s="2" t="inlineStr">
        <is>
          <t>41</t>
        </is>
      </c>
      <c r="C31" s="2" t="inlineStr">
        <is>
          <t>Marti Pašek</t>
        </is>
      </c>
      <c r="D31" s="3" t="n">
        <v>0</v>
      </c>
      <c r="E31" s="3" t="n">
        <v>0</v>
      </c>
      <c r="F31" s="3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5" t="n">
        <v>0</v>
      </c>
      <c r="P31" s="5" t="n">
        <v>90800</v>
      </c>
      <c r="Q31" s="2" t="inlineStr"/>
    </row>
    <row r="32">
      <c r="A32" s="2" t="inlineStr">
        <is>
          <t>ES</t>
        </is>
      </c>
      <c r="B32" s="2" t="inlineStr">
        <is>
          <t>29</t>
        </is>
      </c>
      <c r="C32" s="2" t="inlineStr">
        <is>
          <t>Martin Pašek</t>
        </is>
      </c>
      <c r="D32" s="3" t="n">
        <v>60000</v>
      </c>
      <c r="E32" s="3" t="n">
        <v>7500</v>
      </c>
      <c r="F32" s="3" t="n">
        <v>10000</v>
      </c>
      <c r="G32" s="4" t="n">
        <v>-4343</v>
      </c>
      <c r="H32" s="4" t="n">
        <v>1616</v>
      </c>
      <c r="I32" s="4" t="n">
        <v>2180</v>
      </c>
      <c r="J32" s="4" t="n">
        <v>1957</v>
      </c>
      <c r="K32" s="4" t="n">
        <v>0</v>
      </c>
      <c r="L32" s="4" t="n">
        <v>0</v>
      </c>
      <c r="M32" s="5" t="n">
        <v>57143</v>
      </c>
      <c r="N32" s="5" t="n">
        <v>7769</v>
      </c>
      <c r="O32" s="5" t="n">
        <v>1616</v>
      </c>
      <c r="P32" s="5" t="n">
        <v>0</v>
      </c>
      <c r="Q32" s="2" t="inlineStr">
        <is>
          <t>Landmark netto -206</t>
        </is>
      </c>
    </row>
    <row r="33">
      <c r="A33" s="2" t="inlineStr">
        <is>
          <t>ES</t>
        </is>
      </c>
      <c r="B33" s="2" t="inlineStr">
        <is>
          <t>517</t>
        </is>
      </c>
      <c r="C33" s="2" t="inlineStr">
        <is>
          <t>Martin Valenta</t>
        </is>
      </c>
      <c r="D33" s="3" t="n">
        <v>30000</v>
      </c>
      <c r="E33" s="3" t="n">
        <v>7500</v>
      </c>
      <c r="F33" s="3" t="n">
        <v>0</v>
      </c>
      <c r="G33" s="4" t="n">
        <v>-5859</v>
      </c>
      <c r="H33" s="4" t="n">
        <v>0</v>
      </c>
      <c r="I33" s="4" t="n">
        <v>5859</v>
      </c>
      <c r="J33" s="4" t="n">
        <v>0</v>
      </c>
      <c r="K33" s="4" t="n">
        <v>2790</v>
      </c>
      <c r="L33" s="4" t="n">
        <v>0</v>
      </c>
      <c r="M33" s="5" t="n">
        <v>30000</v>
      </c>
      <c r="N33" s="5" t="n">
        <v>1641</v>
      </c>
      <c r="O33" s="5" t="n">
        <v>0</v>
      </c>
      <c r="P33" s="5" t="n">
        <v>0</v>
      </c>
      <c r="Q33" s="2" t="inlineStr">
        <is>
          <t>Landmark: korekce ≈ −(oblečení+HO) ✓</t>
        </is>
      </c>
    </row>
    <row r="34">
      <c r="A34" s="2" t="inlineStr">
        <is>
          <t>ES</t>
        </is>
      </c>
      <c r="B34" s="2" t="inlineStr">
        <is>
          <t>126</t>
        </is>
      </c>
      <c r="C34" s="2" t="inlineStr">
        <is>
          <t>Matěj Svoboda</t>
        </is>
      </c>
      <c r="D34" s="3" t="n">
        <v>30000</v>
      </c>
      <c r="E34" s="3" t="n">
        <v>7500</v>
      </c>
      <c r="F34" s="3" t="n">
        <v>1000</v>
      </c>
      <c r="G34" s="4" t="n">
        <v>-5859</v>
      </c>
      <c r="H34" s="4" t="n">
        <v>0</v>
      </c>
      <c r="I34" s="4" t="n">
        <v>5859</v>
      </c>
      <c r="J34" s="4" t="n">
        <v>0</v>
      </c>
      <c r="K34" s="4" t="n">
        <v>0</v>
      </c>
      <c r="L34" s="4" t="n">
        <v>-267</v>
      </c>
      <c r="M34" s="5" t="n">
        <v>30000</v>
      </c>
      <c r="N34" s="5" t="n">
        <v>2641</v>
      </c>
      <c r="O34" s="5" t="n">
        <v>580</v>
      </c>
      <c r="P34" s="5" t="n">
        <v>0</v>
      </c>
      <c r="Q34" s="2" t="inlineStr">
        <is>
          <t>Landmark: korekce ≈ −(oblečení+HO) ✓</t>
        </is>
      </c>
    </row>
    <row r="35">
      <c r="A35" s="2" t="inlineStr">
        <is>
          <t>ES</t>
        </is>
      </c>
      <c r="B35" s="2" t="inlineStr">
        <is>
          <t>440</t>
        </is>
      </c>
      <c r="C35" s="2" t="inlineStr">
        <is>
          <t>Michaela Hladíková</t>
        </is>
      </c>
      <c r="D35" s="3" t="n">
        <v>44000</v>
      </c>
      <c r="E35" s="3" t="n">
        <v>7500</v>
      </c>
      <c r="F35" s="3" t="n">
        <v>0</v>
      </c>
      <c r="G35" s="4" t="n">
        <v>-4356</v>
      </c>
      <c r="H35" s="4" t="n">
        <v>202</v>
      </c>
      <c r="I35" s="4" t="n">
        <v>2071</v>
      </c>
      <c r="J35" s="4" t="n">
        <v>1871</v>
      </c>
      <c r="K35" s="4" t="n">
        <v>0</v>
      </c>
      <c r="L35" s="4" t="n">
        <v>0</v>
      </c>
      <c r="M35" s="5" t="n">
        <v>39810</v>
      </c>
      <c r="N35" s="5" t="n">
        <v>2845</v>
      </c>
      <c r="O35" s="5" t="n">
        <v>202</v>
      </c>
      <c r="P35" s="5" t="n">
        <v>0</v>
      </c>
      <c r="Q35" s="2" t="inlineStr">
        <is>
          <t>Landmark netto -414</t>
        </is>
      </c>
    </row>
    <row r="36">
      <c r="A36" s="2" t="inlineStr">
        <is>
          <t>ES</t>
        </is>
      </c>
      <c r="B36" s="2" t="inlineStr">
        <is>
          <t>486</t>
        </is>
      </c>
      <c r="C36" s="2" t="inlineStr">
        <is>
          <t>Michal Jirkovský</t>
        </is>
      </c>
      <c r="D36" s="3" t="n">
        <v>29000</v>
      </c>
      <c r="E36" s="3" t="n">
        <v>7500</v>
      </c>
      <c r="F36" s="3" t="n">
        <v>0</v>
      </c>
      <c r="G36" s="4" t="n">
        <v>-5859</v>
      </c>
      <c r="H36" s="4" t="n">
        <v>0</v>
      </c>
      <c r="I36" s="4" t="n">
        <v>4743</v>
      </c>
      <c r="J36" s="4" t="n">
        <v>0</v>
      </c>
      <c r="K36" s="4" t="n">
        <v>0</v>
      </c>
      <c r="L36" s="4" t="n">
        <v>0</v>
      </c>
      <c r="M36" s="5" t="n">
        <v>22095</v>
      </c>
      <c r="N36" s="5" t="n">
        <v>1250</v>
      </c>
      <c r="O36" s="5" t="n">
        <v>15</v>
      </c>
      <c r="P36" s="5" t="n">
        <v>0</v>
      </c>
      <c r="Q36" s="2" t="inlineStr">
        <is>
          <t>Landmark netto -1116</t>
        </is>
      </c>
    </row>
    <row r="37">
      <c r="A37" s="2" t="inlineStr">
        <is>
          <t>ES</t>
        </is>
      </c>
      <c r="B37" s="2" t="inlineStr">
        <is>
          <t>381</t>
        </is>
      </c>
      <c r="C37" s="2" t="inlineStr">
        <is>
          <t>Michelle Šafránková</t>
        </is>
      </c>
      <c r="D37" s="3" t="n">
        <v>34500</v>
      </c>
      <c r="E37" s="3" t="n">
        <v>7500</v>
      </c>
      <c r="F37" s="3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-249</v>
      </c>
      <c r="M37" s="5" t="n">
        <v>0</v>
      </c>
      <c r="N37" s="5" t="n">
        <v>0</v>
      </c>
      <c r="O37" s="5" t="n">
        <v>0</v>
      </c>
      <c r="P37" s="5" t="n">
        <v>0</v>
      </c>
      <c r="Q37" s="2" t="inlineStr"/>
    </row>
    <row r="38">
      <c r="A38" s="2" t="inlineStr">
        <is>
          <t>ES</t>
        </is>
      </c>
      <c r="B38" s="2" t="inlineStr">
        <is>
          <t>494</t>
        </is>
      </c>
      <c r="C38" s="2" t="inlineStr">
        <is>
          <t>Pavel Egermaier</t>
        </is>
      </c>
      <c r="D38" s="3" t="n">
        <v>28500</v>
      </c>
      <c r="E38" s="3" t="n">
        <v>7500</v>
      </c>
      <c r="F38" s="3" t="n">
        <v>0</v>
      </c>
      <c r="G38" s="4" t="n">
        <v>-5858</v>
      </c>
      <c r="H38" s="4" t="n">
        <v>0</v>
      </c>
      <c r="I38" s="4" t="n">
        <v>2441</v>
      </c>
      <c r="J38" s="4" t="n">
        <v>0</v>
      </c>
      <c r="K38" s="4" t="n">
        <v>0</v>
      </c>
      <c r="L38" s="4" t="n">
        <v>0</v>
      </c>
      <c r="M38" s="5" t="n">
        <v>9203</v>
      </c>
      <c r="N38" s="5" t="n">
        <v>530</v>
      </c>
      <c r="O38" s="5" t="n">
        <v>0</v>
      </c>
      <c r="P38" s="5" t="n">
        <v>0</v>
      </c>
      <c r="Q38" s="2" t="inlineStr">
        <is>
          <t>Landmark netto -3417</t>
        </is>
      </c>
    </row>
    <row r="39">
      <c r="A39" s="2" t="inlineStr">
        <is>
          <t>ES</t>
        </is>
      </c>
      <c r="B39" s="2" t="inlineStr">
        <is>
          <t>6</t>
        </is>
      </c>
      <c r="C39" s="2" t="inlineStr">
        <is>
          <t>Petr Beneš</t>
        </is>
      </c>
      <c r="D39" s="3" t="n">
        <v>68500</v>
      </c>
      <c r="E39" s="3" t="n">
        <v>6500</v>
      </c>
      <c r="F39" s="3" t="n">
        <v>0</v>
      </c>
      <c r="G39" s="4" t="n">
        <v>-4356</v>
      </c>
      <c r="H39" s="4" t="n">
        <v>160</v>
      </c>
      <c r="I39" s="4" t="n">
        <v>2071</v>
      </c>
      <c r="J39" s="4" t="n">
        <v>1871</v>
      </c>
      <c r="K39" s="4" t="n">
        <v>0</v>
      </c>
      <c r="L39" s="4" t="n">
        <v>0</v>
      </c>
      <c r="M39" s="5" t="n">
        <v>61976</v>
      </c>
      <c r="N39" s="5" t="n">
        <v>1940</v>
      </c>
      <c r="O39" s="5" t="n">
        <v>160</v>
      </c>
      <c r="P39" s="5" t="n">
        <v>0</v>
      </c>
      <c r="Q39" s="2" t="inlineStr">
        <is>
          <t>Landmark netto -414</t>
        </is>
      </c>
    </row>
    <row r="40">
      <c r="A40" s="2" t="inlineStr">
        <is>
          <t>ES</t>
        </is>
      </c>
      <c r="B40" s="2" t="inlineStr">
        <is>
          <t>522</t>
        </is>
      </c>
      <c r="C40" s="2" t="inlineStr">
        <is>
          <t>Petr Čiviš</t>
        </is>
      </c>
      <c r="D40" s="3" t="n">
        <v>32500</v>
      </c>
      <c r="E40" s="3" t="n">
        <v>7500</v>
      </c>
      <c r="F40" s="3" t="n">
        <v>1000</v>
      </c>
      <c r="G40" s="4" t="n">
        <v>-5859</v>
      </c>
      <c r="H40" s="4" t="n">
        <v>0</v>
      </c>
      <c r="I40" s="4" t="n">
        <v>5859</v>
      </c>
      <c r="J40" s="4" t="n">
        <v>0</v>
      </c>
      <c r="K40" s="4" t="n">
        <v>2170</v>
      </c>
      <c r="L40" s="4" t="n">
        <v>0</v>
      </c>
      <c r="M40" s="5" t="n">
        <v>32500</v>
      </c>
      <c r="N40" s="5" t="n">
        <v>2641</v>
      </c>
      <c r="O40" s="5" t="n">
        <v>0</v>
      </c>
      <c r="P40" s="5" t="n">
        <v>0</v>
      </c>
      <c r="Q40" s="2" t="inlineStr">
        <is>
          <t>Landmark: korekce ≈ −(oblečení+HO) ✓</t>
        </is>
      </c>
    </row>
    <row r="41">
      <c r="A41" s="2" t="inlineStr">
        <is>
          <t>ES</t>
        </is>
      </c>
      <c r="B41" s="2" t="inlineStr">
        <is>
          <t>49</t>
        </is>
      </c>
      <c r="C41" s="2" t="inlineStr">
        <is>
          <t>Petra Dvořáková</t>
        </is>
      </c>
      <c r="D41" s="3" t="n">
        <v>26700</v>
      </c>
      <c r="E41" s="3" t="n">
        <v>16300</v>
      </c>
      <c r="F41" s="3" t="n">
        <v>0</v>
      </c>
      <c r="G41" s="4" t="n">
        <v>-3831</v>
      </c>
      <c r="H41" s="4" t="n">
        <v>0</v>
      </c>
      <c r="I41" s="4" t="n">
        <v>2235</v>
      </c>
      <c r="J41" s="4" t="n">
        <v>1505</v>
      </c>
      <c r="K41" s="4" t="n">
        <v>0</v>
      </c>
      <c r="L41" s="4" t="n">
        <v>0</v>
      </c>
      <c r="M41" s="5" t="n">
        <v>26064</v>
      </c>
      <c r="N41" s="5" t="n">
        <v>1678</v>
      </c>
      <c r="O41" s="5" t="n">
        <v>0</v>
      </c>
      <c r="P41" s="5" t="n">
        <v>0</v>
      </c>
      <c r="Q41" s="2" t="inlineStr">
        <is>
          <t>Landmark: korekce ≈ −(oblečení+HO) ✓</t>
        </is>
      </c>
    </row>
    <row r="42">
      <c r="A42" s="2" t="inlineStr">
        <is>
          <t>ES</t>
        </is>
      </c>
      <c r="B42" s="2" t="inlineStr">
        <is>
          <t>496</t>
        </is>
      </c>
      <c r="C42" s="2" t="inlineStr">
        <is>
          <t>Simona Urbanová</t>
        </is>
      </c>
      <c r="D42" s="3" t="n">
        <v>25000</v>
      </c>
      <c r="E42" s="3" t="n">
        <v>7500</v>
      </c>
      <c r="F42" s="3" t="n">
        <v>1000</v>
      </c>
      <c r="G42" s="4" t="n">
        <v>-5859</v>
      </c>
      <c r="H42" s="4" t="n">
        <v>0</v>
      </c>
      <c r="I42" s="4" t="n">
        <v>5859</v>
      </c>
      <c r="J42" s="4" t="n">
        <v>0</v>
      </c>
      <c r="K42" s="4" t="n">
        <v>0</v>
      </c>
      <c r="L42" s="4" t="n">
        <v>0</v>
      </c>
      <c r="M42" s="5" t="n">
        <v>25000</v>
      </c>
      <c r="N42" s="5" t="n">
        <v>2641</v>
      </c>
      <c r="O42" s="5" t="n">
        <v>2180</v>
      </c>
      <c r="P42" s="5" t="n">
        <v>0</v>
      </c>
      <c r="Q42" s="2" t="inlineStr">
        <is>
          <t>Landmark: korekce ≈ −(oblečení+HO) ✓</t>
        </is>
      </c>
    </row>
    <row r="43">
      <c r="A43" s="2" t="inlineStr">
        <is>
          <t>ES</t>
        </is>
      </c>
      <c r="B43" s="2" t="inlineStr">
        <is>
          <t>42</t>
        </is>
      </c>
      <c r="C43" s="2" t="inlineStr">
        <is>
          <t>Tereza Veverková</t>
        </is>
      </c>
      <c r="D43" s="3" t="n">
        <v>14600</v>
      </c>
      <c r="E43" s="3" t="n">
        <v>25700</v>
      </c>
      <c r="F43" s="3" t="n">
        <v>0</v>
      </c>
      <c r="G43" s="4" t="n">
        <v>0</v>
      </c>
      <c r="H43" s="4" t="n">
        <v>1409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14600</v>
      </c>
      <c r="N43" s="5" t="n">
        <v>5550</v>
      </c>
      <c r="O43" s="5" t="n">
        <v>1409</v>
      </c>
      <c r="P43" s="5" t="n">
        <v>0</v>
      </c>
      <c r="Q43" s="2" t="inlineStr"/>
    </row>
    <row r="44">
      <c r="A44" s="2" t="inlineStr">
        <is>
          <t>ES</t>
        </is>
      </c>
      <c r="B44" s="2" t="inlineStr">
        <is>
          <t>476</t>
        </is>
      </c>
      <c r="C44" s="2" t="inlineStr">
        <is>
          <t>Tomáš Bláha</t>
        </is>
      </c>
      <c r="D44" s="3" t="n">
        <v>28000</v>
      </c>
      <c r="E44" s="3" t="n">
        <v>9500</v>
      </c>
      <c r="F44" s="3" t="n">
        <v>0</v>
      </c>
      <c r="G44" s="4" t="n">
        <v>-7913</v>
      </c>
      <c r="H44" s="4" t="n">
        <v>0</v>
      </c>
      <c r="I44" s="4" t="n">
        <v>5580</v>
      </c>
      <c r="J44" s="4" t="n">
        <v>1957</v>
      </c>
      <c r="K44" s="4" t="n">
        <v>0</v>
      </c>
      <c r="L44" s="4" t="n">
        <v>0</v>
      </c>
      <c r="M44" s="5" t="n">
        <v>26667</v>
      </c>
      <c r="N44" s="5" t="n">
        <v>1511</v>
      </c>
      <c r="O44" s="5" t="n">
        <v>225</v>
      </c>
      <c r="P44" s="5" t="n">
        <v>0</v>
      </c>
      <c r="Q44" s="2" t="inlineStr">
        <is>
          <t>Landmark netto -376</t>
        </is>
      </c>
    </row>
    <row r="45">
      <c r="A45" s="2" t="inlineStr">
        <is>
          <t>ES</t>
        </is>
      </c>
      <c r="B45" s="2" t="inlineStr">
        <is>
          <t>501</t>
        </is>
      </c>
      <c r="C45" s="2" t="inlineStr">
        <is>
          <t>Vojtěch Purkar</t>
        </is>
      </c>
      <c r="D45" s="3" t="n">
        <v>30000</v>
      </c>
      <c r="E45" s="3" t="n">
        <v>7500</v>
      </c>
      <c r="F45" s="3" t="n">
        <v>0</v>
      </c>
      <c r="G45" s="4" t="n">
        <v>-5859</v>
      </c>
      <c r="H45" s="4" t="n">
        <v>0</v>
      </c>
      <c r="I45" s="4" t="n">
        <v>5859</v>
      </c>
      <c r="J45" s="4" t="n">
        <v>0</v>
      </c>
      <c r="K45" s="4" t="n">
        <v>0</v>
      </c>
      <c r="L45" s="4" t="n">
        <v>0</v>
      </c>
      <c r="M45" s="5" t="n">
        <v>30000</v>
      </c>
      <c r="N45" s="5" t="n">
        <v>1641</v>
      </c>
      <c r="O45" s="5" t="n">
        <v>0</v>
      </c>
      <c r="P45" s="5" t="n">
        <v>0</v>
      </c>
      <c r="Q45" s="2" t="inlineStr">
        <is>
          <t>Landmark: korekce ≈ −(oblečení+HO) ✓</t>
        </is>
      </c>
    </row>
    <row r="46">
      <c r="A46" s="2" t="inlineStr">
        <is>
          <t>ES</t>
        </is>
      </c>
      <c r="B46" s="2" t="inlineStr">
        <is>
          <t>474</t>
        </is>
      </c>
      <c r="C46" s="2" t="inlineStr">
        <is>
          <t>Václav Reitmaier</t>
        </is>
      </c>
      <c r="D46" s="3" t="n">
        <v>41500</v>
      </c>
      <c r="E46" s="3" t="n">
        <v>6500</v>
      </c>
      <c r="F46" s="3" t="n">
        <v>0</v>
      </c>
      <c r="G46" s="4" t="n">
        <v>-5859</v>
      </c>
      <c r="H46" s="4" t="n">
        <v>0</v>
      </c>
      <c r="I46" s="4" t="n">
        <v>5580</v>
      </c>
      <c r="J46" s="4" t="n">
        <v>0</v>
      </c>
      <c r="K46" s="4" t="n">
        <v>0</v>
      </c>
      <c r="L46" s="4" t="n">
        <v>0</v>
      </c>
      <c r="M46" s="5" t="n">
        <v>39524</v>
      </c>
      <c r="N46" s="5" t="n">
        <v>610</v>
      </c>
      <c r="O46" s="5" t="n">
        <v>1590</v>
      </c>
      <c r="P46" s="5" t="n">
        <v>0</v>
      </c>
      <c r="Q46" s="2" t="inlineStr">
        <is>
          <t>Landmark netto -279</t>
        </is>
      </c>
    </row>
    <row r="47">
      <c r="A47" s="2" t="inlineStr">
        <is>
          <t>ES</t>
        </is>
      </c>
      <c r="B47" s="2" t="inlineStr">
        <is>
          <t>515</t>
        </is>
      </c>
      <c r="C47" s="2" t="inlineStr">
        <is>
          <t>Václav Vápeník</t>
        </is>
      </c>
      <c r="D47" s="3" t="n">
        <v>32000</v>
      </c>
      <c r="E47" s="3" t="n">
        <v>6500</v>
      </c>
      <c r="F47" s="3" t="n">
        <v>0</v>
      </c>
      <c r="G47" s="4" t="n">
        <v>-5859</v>
      </c>
      <c r="H47" s="4" t="n">
        <v>0</v>
      </c>
      <c r="I47" s="4" t="n">
        <v>5580</v>
      </c>
      <c r="J47" s="4" t="n">
        <v>0</v>
      </c>
      <c r="K47" s="4" t="n">
        <v>0</v>
      </c>
      <c r="L47" s="4" t="n">
        <v>0</v>
      </c>
      <c r="M47" s="5" t="n">
        <v>30476</v>
      </c>
      <c r="N47" s="5" t="n">
        <v>610</v>
      </c>
      <c r="O47" s="5" t="n">
        <v>355</v>
      </c>
      <c r="P47" s="5" t="n">
        <v>0</v>
      </c>
      <c r="Q47" s="2" t="inlineStr">
        <is>
          <t>Landmark netto -279</t>
        </is>
      </c>
    </row>
    <row r="48">
      <c r="A48" s="2" t="inlineStr">
        <is>
          <t>ES</t>
        </is>
      </c>
      <c r="B48" s="2" t="inlineStr">
        <is>
          <t>147</t>
        </is>
      </c>
      <c r="C48" s="2" t="inlineStr">
        <is>
          <t>Zdeněk Diviš</t>
        </is>
      </c>
      <c r="D48" s="3" t="n">
        <v>34000</v>
      </c>
      <c r="E48" s="3" t="n">
        <v>7500</v>
      </c>
      <c r="F48" s="3" t="n">
        <v>1000</v>
      </c>
      <c r="G48" s="4" t="n">
        <v>-5860</v>
      </c>
      <c r="H48" s="4" t="n">
        <v>0</v>
      </c>
      <c r="I48" s="4" t="n">
        <v>5720</v>
      </c>
      <c r="J48" s="4" t="n">
        <v>0</v>
      </c>
      <c r="K48" s="4" t="n">
        <v>0</v>
      </c>
      <c r="L48" s="4" t="n">
        <v>-5</v>
      </c>
      <c r="M48" s="5" t="n">
        <v>33190</v>
      </c>
      <c r="N48" s="5" t="n">
        <v>2577</v>
      </c>
      <c r="O48" s="5" t="n">
        <v>280</v>
      </c>
      <c r="P48" s="5" t="n">
        <v>0</v>
      </c>
      <c r="Q48" s="2" t="inlineStr">
        <is>
          <t>Landmark: korekce ≈ −(oblečení+HO) ✓</t>
        </is>
      </c>
    </row>
    <row r="49">
      <c r="A49" s="2" t="inlineStr">
        <is>
          <t>ES</t>
        </is>
      </c>
      <c r="B49" s="2" t="inlineStr">
        <is>
          <t>48</t>
        </is>
      </c>
      <c r="C49" s="2" t="inlineStr">
        <is>
          <t>Zdeněk Čepický</t>
        </is>
      </c>
      <c r="D49" s="3" t="n">
        <v>65500</v>
      </c>
      <c r="E49" s="3" t="n">
        <v>6500</v>
      </c>
      <c r="F49" s="3" t="n">
        <v>0</v>
      </c>
      <c r="G49" s="4" t="n">
        <v>-4353</v>
      </c>
      <c r="H49" s="4" t="n">
        <v>0</v>
      </c>
      <c r="I49" s="4" t="n">
        <v>2289</v>
      </c>
      <c r="J49" s="4" t="n">
        <v>2064</v>
      </c>
      <c r="K49" s="4" t="n">
        <v>0</v>
      </c>
      <c r="L49" s="4" t="n">
        <v>0</v>
      </c>
      <c r="M49" s="5" t="n">
        <v>65500</v>
      </c>
      <c r="N49" s="5" t="n">
        <v>2147</v>
      </c>
      <c r="O49" s="5" t="n">
        <v>0</v>
      </c>
      <c r="P49" s="5" t="n">
        <v>0</v>
      </c>
      <c r="Q49" s="2" t="inlineStr">
        <is>
          <t>Landmark: korekce ≈ −(oblečení+HO) ✓</t>
        </is>
      </c>
    </row>
    <row r="50">
      <c r="A50" s="2" t="inlineStr">
        <is>
          <t>ES</t>
        </is>
      </c>
      <c r="B50" s="2" t="inlineStr">
        <is>
          <t>50</t>
        </is>
      </c>
      <c r="C50" s="2" t="inlineStr">
        <is>
          <t>Zuzana Duspivová</t>
        </is>
      </c>
      <c r="D50" s="3" t="n">
        <v>33500</v>
      </c>
      <c r="E50" s="3" t="n">
        <v>6500</v>
      </c>
      <c r="F50" s="3" t="n">
        <v>0</v>
      </c>
      <c r="G50" s="4" t="n">
        <v>-4353</v>
      </c>
      <c r="H50" s="4" t="n">
        <v>0</v>
      </c>
      <c r="I50" s="4" t="n">
        <v>2289</v>
      </c>
      <c r="J50" s="4" t="n">
        <v>2064</v>
      </c>
      <c r="K50" s="4" t="n">
        <v>0</v>
      </c>
      <c r="L50" s="4" t="n">
        <v>0</v>
      </c>
      <c r="M50" s="5" t="n">
        <v>33500</v>
      </c>
      <c r="N50" s="5" t="n">
        <v>2147</v>
      </c>
      <c r="O50" s="5" t="n">
        <v>0</v>
      </c>
      <c r="P50" s="5" t="n">
        <v>0</v>
      </c>
      <c r="Q50" s="2" t="inlineStr">
        <is>
          <t>Landmark: korekce ≈ −(oblečení+HO) ✓</t>
        </is>
      </c>
    </row>
    <row r="51">
      <c r="A51" s="2" t="inlineStr">
        <is>
          <t>ES</t>
        </is>
      </c>
      <c r="B51" s="2" t="inlineStr">
        <is>
          <t>16</t>
        </is>
      </c>
      <c r="C51" s="2" t="inlineStr">
        <is>
          <t>Šárka Novotná</t>
        </is>
      </c>
      <c r="D51" s="3" t="n">
        <v>35500</v>
      </c>
      <c r="E51" s="3" t="n">
        <v>12000</v>
      </c>
      <c r="F51" s="3" t="n">
        <v>0</v>
      </c>
      <c r="G51" s="4" t="n">
        <v>-4095</v>
      </c>
      <c r="H51" s="4" t="n">
        <v>0</v>
      </c>
      <c r="I51" s="4" t="n">
        <v>2289</v>
      </c>
      <c r="J51" s="4" t="n">
        <v>1806</v>
      </c>
      <c r="K51" s="4" t="n">
        <v>0</v>
      </c>
      <c r="L51" s="4" t="n">
        <v>-83</v>
      </c>
      <c r="M51" s="5" t="n">
        <v>35500</v>
      </c>
      <c r="N51" s="5" t="n">
        <v>1967</v>
      </c>
      <c r="O51" s="5" t="n">
        <v>0</v>
      </c>
      <c r="P51" s="5" t="n">
        <v>0</v>
      </c>
      <c r="Q51" s="2" t="inlineStr">
        <is>
          <t>Landmark: korekce ≈ −(oblečení+HO)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" t="inlineStr">
        <is>
          <t>3. PRŮCHOD – SLOŽKY: závěry pro dorovnání</t>
        </is>
      </c>
      <c r="B1" s="7" t="inlineStr"/>
    </row>
    <row r="2">
      <c r="A2" t="inlineStr"/>
      <c r="B2" s="7" t="inlineStr"/>
    </row>
    <row r="3">
      <c r="A3" s="8" t="inlineStr">
        <is>
          <t>1) Základní mzda</t>
        </is>
      </c>
      <c r="B3" s="7" t="inlineStr">
        <is>
          <t>náš import sedí; krátit odpracovanými hodinami (viz průchod 2: + svátky, − absence)</t>
        </is>
      </c>
    </row>
    <row r="4">
      <c r="A4" s="8" t="inlineStr">
        <is>
          <t>2) Osobní ohodnocení</t>
        </is>
      </c>
      <c r="B4" s="7" t="inlineStr">
        <is>
          <t>Helios = base os.ohod. + Landmark korekce; korekce ≈ −(náhrada oblečení + HO) = daňový přesun</t>
        </is>
      </c>
    </row>
    <row r="5">
      <c r="A5" s="8" t="inlineStr">
        <is>
          <t>3) Náhrady oblečení / HO</t>
        </is>
      </c>
      <c r="B5" s="7" t="inlineStr">
        <is>
          <t>negross složky (MS 794/795) – financované korekcí os.ohod.; do hrubé nevstupují, ale do výplaty ano</t>
        </is>
      </c>
    </row>
    <row r="6">
      <c r="A6" s="8" t="inlineStr">
        <is>
          <t>4) Prémie</t>
        </is>
      </c>
      <c r="B6" s="7" t="inlineStr">
        <is>
          <t>POZOR: skutečná měsíční prémie = pohyb 'Odměny VP', NE náš rozpočtový premie/vedeni_lidi</t>
        </is>
      </c>
    </row>
    <row r="7">
      <c r="A7" s="8" t="inlineStr">
        <is>
          <t>5) Odměny společníků</t>
        </is>
      </c>
      <c r="B7" s="7" t="inlineStr">
        <is>
          <t>u nás chybí (Marti, Mózer) – doplnit jako složku/pohyb</t>
        </is>
      </c>
    </row>
    <row r="8">
      <c r="A8" t="inlineStr"/>
      <c r="B8" s="7" t="inlineStr"/>
    </row>
    <row r="9">
      <c r="A9" s="8" t="inlineStr">
        <is>
          <t>Co musí umět náš engine, aby to sedlo</t>
        </is>
      </c>
      <c r="B9" s="7">
        <f> náš paušál (base) + Landmark přesun (korekce↔náhrady) + Odměny VP + krácení docházkou</f>
        <v/>
      </c>
    </row>
    <row r="10">
      <c r="A10" s="8" t="inlineStr">
        <is>
          <t>Zbývá potvrdit se Šárkou</t>
        </is>
      </c>
      <c r="B10" s="7" t="inlineStr">
        <is>
          <t>přesná base hodnota osobního ohodnocení v podmínkách (náš wage_component os_ohodnoceni vs EC OsOhod) a mapování pohyb→Helios MS</t>
        </is>
      </c>
    </row>
    <row r="11">
      <c r="A11" s="8" t="inlineStr">
        <is>
          <t>Pak systémově s Marti-AI</t>
        </is>
      </c>
      <c r="B11" s="7" t="inlineStr">
        <is>
          <t>tenant.wage_movement (mirror pohybů) + engine složek + export do Heliosu (čistý import)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2026-06-10T13:04:35Z</dcterms:created>
  <dcterms:modified xmlns:dcterms="http://purl.org/dc/terms/" xmlns:xsi="http://www.w3.org/2001/XMLSchema-instance" xsi:type="dcterms:W3CDTF">2026-06-10T13:04:35Z</dcterms:modified>
</cp:coreProperties>
</file>