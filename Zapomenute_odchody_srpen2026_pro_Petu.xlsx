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pomenuté odchody" sheetId="1" state="visible" r:id="rId3"/>
  </sheets>
  <definedNames>
    <definedName function="false" hidden="true" localSheetId="0" name="_xlnm._FilterDatabase" vbProcedure="false">'Zapomenuté odchody'!$A$5:$K$14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<sst xmlns="http://schemas.openxmlformats.org/spreadsheetml/2006/main" count="79" uniqueCount="53">
  <si>
    <t xml:space="preserve">Zapomenuté odchody — srpen 2026 (uzavřel je půlnoční automat na 23:59)</t>
  </si>
  <si>
    <t xml:space="preserve">Podklad pro Opravy docházky. Člověk si nepíchl odchod, automat směnu uzavřel na 23:59 — hodiny ve sloupci E proto NEODPOVÍDAJÍ skutečnosti a jdou do mzdového souhrnu.</t>
  </si>
  <si>
    <t xml:space="preserve">Vyplň prosím sloupec „Skutečný konec“ (formát HH:MM) a stav. Sestavil Claude-24 pro Kristý, 19. 8. 2026.</t>
  </si>
  <si>
    <t xml:space="preserve">Jméno</t>
  </si>
  <si>
    <t xml:space="preserve">Číslo</t>
  </si>
  <si>
    <t xml:space="preserve">Den</t>
  </si>
  <si>
    <t xml:space="preserve">ID záznamu</t>
  </si>
  <si>
    <t xml:space="preserve">Začátek</t>
  </si>
  <si>
    <t xml:space="preserve">Konec dopsal automat</t>
  </si>
  <si>
    <t xml:space="preserve">Hodin zapsáno</t>
  </si>
  <si>
    <t xml:space="preserve">Hodin v rozpadu</t>
  </si>
  <si>
    <t xml:space="preserve">Ohlášení toho dne</t>
  </si>
  <si>
    <t xml:space="preserve">Skutečný konec (doplní Peťa)</t>
  </si>
  <si>
    <t xml:space="preserve">Opraveno</t>
  </si>
  <si>
    <t xml:space="preserve">Marti Pašek</t>
  </si>
  <si>
    <t xml:space="preserve">2</t>
  </si>
  <si>
    <t xml:space="preserve">2026-08-02</t>
  </si>
  <si>
    <t xml:space="preserve">9973901</t>
  </si>
  <si>
    <t xml:space="preserve">07:28</t>
  </si>
  <si>
    <t xml:space="preserve">23:59</t>
  </si>
  <si>
    <t xml:space="preserve">Jiří Honomichl</t>
  </si>
  <si>
    <t xml:space="preserve">9030</t>
  </si>
  <si>
    <t xml:space="preserve">2026-08-03</t>
  </si>
  <si>
    <t xml:space="preserve">9976366</t>
  </si>
  <si>
    <t xml:space="preserve">10:59</t>
  </si>
  <si>
    <t xml:space="preserve">—</t>
  </si>
  <si>
    <t xml:space="preserve">Šárka Novotná</t>
  </si>
  <si>
    <t xml:space="preserve">16</t>
  </si>
  <si>
    <t xml:space="preserve">9977010</t>
  </si>
  <si>
    <t xml:space="preserve">12:18</t>
  </si>
  <si>
    <t xml:space="preserve">2026-08-06</t>
  </si>
  <si>
    <t xml:space="preserve">9984398</t>
  </si>
  <si>
    <t xml:space="preserve">08:26</t>
  </si>
  <si>
    <t xml:space="preserve">2026-08-07</t>
  </si>
  <si>
    <t xml:space="preserve">9984801</t>
  </si>
  <si>
    <t xml:space="preserve">10:28</t>
  </si>
  <si>
    <t xml:space="preserve">2026-08-10</t>
  </si>
  <si>
    <t xml:space="preserve">9985396</t>
  </si>
  <si>
    <t xml:space="preserve">08:51</t>
  </si>
  <si>
    <t xml:space="preserve">2026-08-13</t>
  </si>
  <si>
    <t xml:space="preserve">10008626</t>
  </si>
  <si>
    <t xml:space="preserve">07:29</t>
  </si>
  <si>
    <t xml:space="preserve">2026-08-15</t>
  </si>
  <si>
    <t xml:space="preserve">10009221</t>
  </si>
  <si>
    <t xml:space="preserve">08:27</t>
  </si>
  <si>
    <t xml:space="preserve">2026-08-17</t>
  </si>
  <si>
    <t xml:space="preserve">10009323</t>
  </si>
  <si>
    <t xml:space="preserve">05:48</t>
  </si>
  <si>
    <t xml:space="preserve">Dnes končím dříve, asi v 11:00</t>
  </si>
  <si>
    <t xml:space="preserve">Celkem hodin zapsáno automatem</t>
  </si>
  <si>
    <t xml:space="preserve">Počet případů</t>
  </si>
  <si>
    <t xml:space="preserve">Zdroj: tenant.att_entry, poznámka „[auto-odhlášení o půlnoci]“, hodiny &gt; 10, stav ≠ superseded, období 1.–19. 8. 2026. Dotaz Claude-24 přes SQL most 19. 8. 2026.</t>
  </si>
  <si>
    <t xml:space="preserve">Pozn.: „—“ v rozpadu znamená, že k záznamu nejsou navázané položky. U Honomichla 17. 8. je v rozpadu 19,30 h na Režii — tam je rozdíl největší.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</si>
</sst>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5" t="n">
        <v>16.52</v>
      </c>
      <c r="H6" s="6" t="n">
        <v>16.68</v>
      </c>
      <c r="I6" s="4"/>
      <c r="J6" s="7"/>
      <c r="K6" s="7"/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19</v>
      </c>
      <c r="G7" s="6" t="n">
        <v>13</v>
      </c>
      <c r="H7" s="4" t="s">
        <v>25</v>
      </c>
      <c r="I7" s="4"/>
      <c r="J7" s="7"/>
      <c r="K7" s="7"/>
    </row>
    <row r="8" customFormat="false" ht="15" hidden="false" customHeight="false" outlineLevel="0" collapsed="false">
      <c r="A8" s="4" t="s">
        <v>26</v>
      </c>
      <c r="B8" s="4" t="s">
        <v>27</v>
      </c>
      <c r="C8" s="4" t="s">
        <v>22</v>
      </c>
      <c r="D8" s="4" t="s">
        <v>28</v>
      </c>
      <c r="E8" s="4" t="s">
        <v>29</v>
      </c>
      <c r="F8" s="4" t="s">
        <v>19</v>
      </c>
      <c r="G8" s="6" t="n">
        <v>11.68</v>
      </c>
      <c r="H8" s="4" t="s">
        <v>25</v>
      </c>
      <c r="I8" s="4"/>
      <c r="J8" s="7"/>
      <c r="K8" s="7"/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30</v>
      </c>
      <c r="D9" s="4" t="s">
        <v>31</v>
      </c>
      <c r="E9" s="4" t="s">
        <v>32</v>
      </c>
      <c r="F9" s="4" t="s">
        <v>19</v>
      </c>
      <c r="G9" s="5" t="n">
        <v>15.55</v>
      </c>
      <c r="H9" s="4" t="s">
        <v>25</v>
      </c>
      <c r="I9" s="4"/>
      <c r="J9" s="7"/>
      <c r="K9" s="7"/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33</v>
      </c>
      <c r="D10" s="4" t="s">
        <v>34</v>
      </c>
      <c r="E10" s="4" t="s">
        <v>35</v>
      </c>
      <c r="F10" s="4" t="s">
        <v>19</v>
      </c>
      <c r="G10" s="6" t="n">
        <v>13.52</v>
      </c>
      <c r="H10" s="6" t="n">
        <v>0</v>
      </c>
      <c r="I10" s="4"/>
      <c r="J10" s="7"/>
      <c r="K10" s="7"/>
    </row>
    <row r="11" customFormat="false" ht="15" hidden="false" customHeight="false" outlineLevel="0" collapsed="false">
      <c r="A11" s="4" t="s">
        <v>20</v>
      </c>
      <c r="B11" s="4" t="s">
        <v>21</v>
      </c>
      <c r="C11" s="4" t="s">
        <v>36</v>
      </c>
      <c r="D11" s="4" t="s">
        <v>37</v>
      </c>
      <c r="E11" s="4" t="s">
        <v>38</v>
      </c>
      <c r="F11" s="4" t="s">
        <v>19</v>
      </c>
      <c r="G11" s="5" t="n">
        <v>15.13</v>
      </c>
      <c r="H11" s="4" t="s">
        <v>25</v>
      </c>
      <c r="I11" s="4"/>
      <c r="J11" s="7"/>
      <c r="K11" s="7"/>
    </row>
    <row r="12" customFormat="false" ht="15" hidden="false" customHeight="false" outlineLevel="0" collapsed="false">
      <c r="A12" s="4" t="s">
        <v>20</v>
      </c>
      <c r="B12" s="4" t="s">
        <v>21</v>
      </c>
      <c r="C12" s="4" t="s">
        <v>39</v>
      </c>
      <c r="D12" s="4" t="s">
        <v>40</v>
      </c>
      <c r="E12" s="4" t="s">
        <v>41</v>
      </c>
      <c r="F12" s="4" t="s">
        <v>19</v>
      </c>
      <c r="G12" s="5" t="n">
        <v>16.5</v>
      </c>
      <c r="H12" s="4" t="s">
        <v>25</v>
      </c>
      <c r="I12" s="4"/>
      <c r="J12" s="7"/>
      <c r="K12" s="7"/>
    </row>
    <row r="13" customFormat="false" ht="15" hidden="false" customHeight="false" outlineLevel="0" collapsed="false">
      <c r="A13" s="4" t="s">
        <v>20</v>
      </c>
      <c r="B13" s="4" t="s">
        <v>21</v>
      </c>
      <c r="C13" s="4" t="s">
        <v>42</v>
      </c>
      <c r="D13" s="4" t="s">
        <v>43</v>
      </c>
      <c r="E13" s="4" t="s">
        <v>44</v>
      </c>
      <c r="F13" s="4" t="s">
        <v>19</v>
      </c>
      <c r="G13" s="5" t="n">
        <v>15.53</v>
      </c>
      <c r="H13" s="4" t="s">
        <v>25</v>
      </c>
      <c r="I13" s="4"/>
      <c r="J13" s="7"/>
      <c r="K13" s="7"/>
    </row>
    <row r="14" customFormat="false" ht="15" hidden="false" customHeight="false" outlineLevel="0" collapsed="false">
      <c r="A14" s="4" t="s">
        <v>20</v>
      </c>
      <c r="B14" s="4" t="s">
        <v>21</v>
      </c>
      <c r="C14" s="4" t="s">
        <v>45</v>
      </c>
      <c r="D14" s="4" t="s">
        <v>46</v>
      </c>
      <c r="E14" s="4" t="s">
        <v>47</v>
      </c>
      <c r="F14" s="4" t="s">
        <v>19</v>
      </c>
      <c r="G14" s="5" t="n">
        <v>18.18</v>
      </c>
      <c r="H14" s="6" t="n">
        <v>19.3</v>
      </c>
      <c r="I14" s="4" t="s">
        <v>48</v>
      </c>
      <c r="J14" s="7"/>
      <c r="K14" s="7"/>
    </row>
    <row r="16" customFormat="false" ht="15" hidden="false" customHeight="false" outlineLevel="0" collapsed="false">
      <c r="A16" s="8" t="s">
        <v>49</v>
      </c>
      <c r="G16" s="5" t="n">
        <f aca="false">SUM(G6:G14)</f>
        <v>135.61</v>
      </c>
    </row>
    <row r="17" customFormat="false" ht="15" hidden="false" customHeight="false" outlineLevel="0" collapsed="false">
      <c r="A17" s="8" t="s">
        <v>50</v>
      </c>
      <c r="G17" s="8" t="n">
        <f aca="false">COUNT(G6:G14)</f>
        <v>9</v>
      </c>
    </row>
    <row r="19" customFormat="false" ht="15" hidden="false" customHeight="false" outlineLevel="0" collapsed="false">
      <c r="A19" s="9" t="s">
        <v>51</v>
      </c>
    </row>
    <row r="20" customFormat="false" ht="15" hidden="false" customHeight="false" outlineLevel="0" collapsed="false">
      <c r="A20" s="9" t="s">
        <v>52</v>
      </c>
    </row>
  </sheetData>
  <autoFilter ref="A5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2026-08-19T07:48:29Z</dcterms:created>
  <dc:creator>openpyxl</dc:creator>
  <dc:description/>
  <dc:language>en-US</dc:language>
  <cp:lastModifiedBy/>
  <dcterms:modified xsi:type="dcterms:W3CDTF">2026-08-19T07:48:29Z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