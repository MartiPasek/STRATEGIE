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í audit 4-10" sheetId="1" state="visible" r:id="rId3"/>
    <sheet name="Souhrn" sheetId="2" state="visible" r:id="rId4"/>
  </sheets>
  <definedNames>
    <definedName function="false" hidden="true" localSheetId="0" name="_xlnm._FilterDatabase" vbProcedure="false">'Interní audit 4-10'!$A$3:$H$27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<sst xmlns="http://schemas.openxmlformats.org/spreadsheetml/2006/main" count="115" uniqueCount="97">
  <si>
    <t xml:space="preserve">Interní audit ISMS — ISO/IEC 27001:2022 (kap. 4-10) · STRATEGIE – System s.r.o.</t>
  </si>
  <si>
    <t xml:space="preserve">Datum auditu: __________   Auditor: __________   Rozsah: ISMS dle DOC-01   (Annex A opatření → viz SoA_pracovni_register.xlsx)</t>
  </si>
  <si>
    <t xml:space="preserve">Kapitola</t>
  </si>
  <si>
    <t xml:space="preserve">Požadavek</t>
  </si>
  <si>
    <t xml:space="preserve">Co ověřit (otázka auditora)</t>
  </si>
  <si>
    <t xml:space="preserve">Návrh důkazu / odkaz</t>
  </si>
  <si>
    <t xml:space="preserve">Zjištění (vyplní auditor)</t>
  </si>
  <si>
    <t xml:space="preserve">Shoda</t>
  </si>
  <si>
    <t xml:space="preserve">Nápravné opatření</t>
  </si>
  <si>
    <t xml:space="preserve">Termín</t>
  </si>
  <si>
    <t xml:space="preserve">4 Kontext</t>
  </si>
  <si>
    <t xml:space="preserve">4.1 Externí a interní záležitosti</t>
  </si>
  <si>
    <t xml:space="preserve">Jsou určeny záležitosti relevantní pro ISMS (cíle, rizika)?</t>
  </si>
  <si>
    <t xml:space="preserve">DOC-01 rozsah; kontext v ISMS</t>
  </si>
  <si>
    <t xml:space="preserve">4.2 Potřeby zainteresovaných stran</t>
  </si>
  <si>
    <t xml:space="preserve">Jsou identifikovány zainteresované strany a jejich požadavky (klienti, partneři, úřady)?</t>
  </si>
  <si>
    <t xml:space="preserve">DOC-01; seznam stran (EUROSOFT, INTERSOFT, ČSSZ, ÚOOÚ)</t>
  </si>
  <si>
    <t xml:space="preserve">4.3 Rozsah ISMS</t>
  </si>
  <si>
    <t xml:space="preserve">Je rozsah definovaný a dokumentovaný (co spadá/nespadá)?</t>
  </si>
  <si>
    <t xml:space="preserve">DOC-01 Rozsah ISMS</t>
  </si>
  <si>
    <t xml:space="preserve">4.4 ISMS</t>
  </si>
  <si>
    <t xml:space="preserve">Je ISMS zaveden a udržován dle normy?</t>
  </si>
  <si>
    <t xml:space="preserve">Sada DOC-00..18 + provoz</t>
  </si>
  <si>
    <t xml:space="preserve">5 Vedení</t>
  </si>
  <si>
    <t xml:space="preserve">5.1 Vedení a závazek</t>
  </si>
  <si>
    <t xml:space="preserve">Prokazuje vedení závazek (politika, zdroje, review)?</t>
  </si>
  <si>
    <t xml:space="preserve">DOC-02; zápis management review (9.3)</t>
  </si>
  <si>
    <t xml:space="preserve">5.2 Politika</t>
  </si>
  <si>
    <t xml:space="preserve">Je politika IS schválená, dostupná, komunikovaná?</t>
  </si>
  <si>
    <t xml:space="preserve">DOC-02 podepsaný vedením</t>
  </si>
  <si>
    <t xml:space="preserve">5.3 Role a odpovědnosti</t>
  </si>
  <si>
    <t xml:space="preserve">Jsou role přiděleny a komunikovány?</t>
  </si>
  <si>
    <t xml:space="preserve">DOC-03</t>
  </si>
  <si>
    <t xml:space="preserve">6 Plánování</t>
  </si>
  <si>
    <t xml:space="preserve">6.1.2 Hodnocení rizik</t>
  </si>
  <si>
    <t xml:space="preserve">Je definovaný a aplikovaný proces hodnocení rizik (kritéria, stupnice)?</t>
  </si>
  <si>
    <t xml:space="preserve">DOC-04 + DOC-05 (naplněný registr)</t>
  </si>
  <si>
    <t xml:space="preserve">6.1.3 Ošetření rizik + SoA</t>
  </si>
  <si>
    <t xml:space="preserve">Existuje plán ošetření a SoA pokrývající všech 93 opatření s odůvodněním?</t>
  </si>
  <si>
    <t xml:space="preserve">DOC-06 SoA + DOC-07 + SoA_pracovni_register.xlsx</t>
  </si>
  <si>
    <t xml:space="preserve">6.2 Cíle bezpečnosti</t>
  </si>
  <si>
    <t xml:space="preserve">Jsou cíle měřitelné, s plánem a termíny?</t>
  </si>
  <si>
    <t xml:space="preserve">DOC-08</t>
  </si>
  <si>
    <t xml:space="preserve">6.3 Plánování změn</t>
  </si>
  <si>
    <t xml:space="preserve">Jsou změny ISMS řízeny?</t>
  </si>
  <si>
    <t xml:space="preserve">Změnové řízení (git, blue-green, schvalování)</t>
  </si>
  <si>
    <t xml:space="preserve">7 Podpora</t>
  </si>
  <si>
    <t xml:space="preserve">7.1 Zdroje</t>
  </si>
  <si>
    <t xml:space="preserve">Jsou zajištěny zdroje pro ISMS?</t>
  </si>
  <si>
    <t xml:space="preserve">Rozpočet/tým; management review</t>
  </si>
  <si>
    <t xml:space="preserve">7.2 Kompetence</t>
  </si>
  <si>
    <t xml:space="preserve">Mají osoby potřebné kompetence; je doložen záznam?</t>
  </si>
  <si>
    <t xml:space="preserve">Záznam o školení/kvalifikaci (DOPLNIT)</t>
  </si>
  <si>
    <t xml:space="preserve">7.3 Povědomí</t>
  </si>
  <si>
    <t xml:space="preserve">Jsou osoby seznámeny s politikou a svou rolí?</t>
  </si>
  <si>
    <t xml:space="preserve">Prezenčka školení; DOC-13</t>
  </si>
  <si>
    <t xml:space="preserve">7.4 Komunikace</t>
  </si>
  <si>
    <t xml:space="preserve">Je řízena interní/externí komunikace o IS?</t>
  </si>
  <si>
    <t xml:space="preserve">Plán komunikace; oznámení partnerům</t>
  </si>
  <si>
    <t xml:space="preserve">7.5 Dokumentované informace</t>
  </si>
  <si>
    <t xml:space="preserve">Je dokumentace řízena (verze, schválení, dostupnost)?</t>
  </si>
  <si>
    <t xml:space="preserve">git + docs; hlavičky DOC-* (verze/schválil)</t>
  </si>
  <si>
    <t xml:space="preserve">8 Provoz</t>
  </si>
  <si>
    <t xml:space="preserve">8.1 Provozní plánování a řízení</t>
  </si>
  <si>
    <t xml:space="preserve">Jsou procesy plánovány a řízeny dle požadavků?</t>
  </si>
  <si>
    <t xml:space="preserve">Provozní postupy (deploy, zálohy, ops)</t>
  </si>
  <si>
    <t xml:space="preserve">8.2 Hodnocení rizik (výkon)</t>
  </si>
  <si>
    <t xml:space="preserve">Je hodnocení rizik prováděno v plánovaných intervalech a při změnách?</t>
  </si>
  <si>
    <t xml:space="preserve">Aktualizace DOC-05 s daty</t>
  </si>
  <si>
    <t xml:space="preserve">8.3 Ošetření rizik (výkon)</t>
  </si>
  <si>
    <t xml:space="preserve">Je plán ošetření realizován?</t>
  </si>
  <si>
    <t xml:space="preserve">DOC-07 se stavem realizace</t>
  </si>
  <si>
    <t xml:space="preserve">9 Hodnocení</t>
  </si>
  <si>
    <t xml:space="preserve">9.1 Monitorování a měření</t>
  </si>
  <si>
    <t xml:space="preserve">Je definováno co/jak/kdy se měří; jsou výsledky?</t>
  </si>
  <si>
    <t xml:space="preserve">KPI bezpečnosti; logy (22 audit tabulek)</t>
  </si>
  <si>
    <t xml:space="preserve">9.2 Interní audit</t>
  </si>
  <si>
    <t xml:space="preserve">Je program interního auditu a proběhl audit se záznamem?</t>
  </si>
  <si>
    <t xml:space="preserve">DOC-16 + TENTO checklist vyplněný</t>
  </si>
  <si>
    <t xml:space="preserve">9.3 Přezkoumání vedením</t>
  </si>
  <si>
    <t xml:space="preserve">Proběhlo přezkoumání vedením se vstupy/výstupy?</t>
  </si>
  <si>
    <t xml:space="preserve">DOC-17 zápis (PROVÉST)</t>
  </si>
  <si>
    <t xml:space="preserve">10 Zlepšování</t>
  </si>
  <si>
    <t xml:space="preserve">10.1 Neustálé zlepšování</t>
  </si>
  <si>
    <t xml:space="preserve">Je ISMS průběžně zlepšován?</t>
  </si>
  <si>
    <t xml:space="preserve">Trend nálezů; dodatky/poučení</t>
  </si>
  <si>
    <t xml:space="preserve">10.2 Neshody a nápravná opatření</t>
  </si>
  <si>
    <t xml:space="preserve">Jsou neshody řešeny s analýzou příčin a opatřeními?</t>
  </si>
  <si>
    <t xml:space="preserve">DOC-18 + záznamy z tohoto auditu</t>
  </si>
  <si>
    <t xml:space="preserve">Souhrn nálezů</t>
  </si>
  <si>
    <t xml:space="preserve">Počet</t>
  </si>
  <si>
    <t xml:space="preserve">OK</t>
  </si>
  <si>
    <t xml:space="preserve">Neshoda</t>
  </si>
  <si>
    <t xml:space="preserve">Příležitost</t>
  </si>
  <si>
    <t xml:space="preserve">N/A</t>
  </si>
  <si>
    <t xml:space="preserve">Celkem požadavků</t>
  </si>
  <si>
    <t xml:space="preserve">Pozn.: vyplň sloupec 'Zjištění' a 'Shoda' u každého požadavku. Neshody → nápravná opatření (DOC-18). Annex A opatření se auditují přes SoA_pracovni_register.xlsx.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</si>
</sst>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34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3.8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/>
      <c r="F4" s="4"/>
      <c r="G4" s="4"/>
      <c r="H4" s="5"/>
    </row>
    <row r="5" customFormat="false" ht="23.85" hidden="false" customHeight="false" outlineLevel="0" collapsed="false">
      <c r="A5" s="4" t="s">
        <v>10</v>
      </c>
      <c r="B5" s="4" t="s">
        <v>14</v>
      </c>
      <c r="C5" s="4" t="s">
        <v>15</v>
      </c>
      <c r="D5" s="4" t="s">
        <v>16</v>
      </c>
      <c r="E5" s="4"/>
      <c r="F5" s="4"/>
      <c r="G5" s="4"/>
      <c r="H5" s="5"/>
    </row>
    <row r="6" customFormat="false" ht="23.85" hidden="false" customHeight="false" outlineLevel="0" collapsed="false">
      <c r="A6" s="4" t="s">
        <v>10</v>
      </c>
      <c r="B6" s="4" t="s">
        <v>17</v>
      </c>
      <c r="C6" s="4" t="s">
        <v>18</v>
      </c>
      <c r="D6" s="4" t="s">
        <v>19</v>
      </c>
      <c r="E6" s="4"/>
      <c r="F6" s="4"/>
      <c r="G6" s="4"/>
      <c r="H6" s="5"/>
    </row>
    <row r="7" customFormat="false" ht="15" hidden="false" customHeight="false" outlineLevel="0" collapsed="false">
      <c r="A7" s="4" t="s">
        <v>10</v>
      </c>
      <c r="B7" s="4" t="s">
        <v>20</v>
      </c>
      <c r="C7" s="4" t="s">
        <v>21</v>
      </c>
      <c r="D7" s="4" t="s">
        <v>22</v>
      </c>
      <c r="E7" s="4"/>
      <c r="F7" s="4"/>
      <c r="G7" s="4"/>
      <c r="H7" s="5"/>
    </row>
    <row r="8" customFormat="false" ht="23.8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/>
      <c r="F8" s="4"/>
      <c r="G8" s="4"/>
      <c r="H8" s="5"/>
    </row>
    <row r="9" customFormat="false" ht="23.85" hidden="false" customHeight="false" outlineLevel="0" collapsed="false">
      <c r="A9" s="4" t="s">
        <v>23</v>
      </c>
      <c r="B9" s="4" t="s">
        <v>27</v>
      </c>
      <c r="C9" s="4" t="s">
        <v>28</v>
      </c>
      <c r="D9" s="4" t="s">
        <v>29</v>
      </c>
      <c r="E9" s="4"/>
      <c r="F9" s="4"/>
      <c r="G9" s="4"/>
      <c r="H9" s="5"/>
    </row>
    <row r="10" customFormat="false" ht="15" hidden="false" customHeight="false" outlineLevel="0" collapsed="false">
      <c r="A10" s="4" t="s">
        <v>23</v>
      </c>
      <c r="B10" s="4" t="s">
        <v>30</v>
      </c>
      <c r="C10" s="4" t="s">
        <v>31</v>
      </c>
      <c r="D10" s="4" t="s">
        <v>32</v>
      </c>
      <c r="E10" s="4"/>
      <c r="F10" s="4"/>
      <c r="G10" s="4"/>
      <c r="H10" s="5"/>
    </row>
    <row r="11" customFormat="false" ht="23.85" hidden="false" customHeight="false" outlineLevel="0" collapsed="false">
      <c r="A11" s="4" t="s">
        <v>33</v>
      </c>
      <c r="B11" s="4" t="s">
        <v>34</v>
      </c>
      <c r="C11" s="4" t="s">
        <v>35</v>
      </c>
      <c r="D11" s="4" t="s">
        <v>36</v>
      </c>
      <c r="E11" s="4"/>
      <c r="F11" s="4"/>
      <c r="G11" s="4"/>
      <c r="H11" s="5"/>
    </row>
    <row r="12" customFormat="false" ht="23.85" hidden="false" customHeight="false" outlineLevel="0" collapsed="false">
      <c r="A12" s="4" t="s">
        <v>33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5"/>
    </row>
    <row r="13" customFormat="false" ht="15" hidden="false" customHeight="false" outlineLevel="0" collapsed="false">
      <c r="A13" s="4" t="s">
        <v>33</v>
      </c>
      <c r="B13" s="4" t="s">
        <v>40</v>
      </c>
      <c r="C13" s="4" t="s">
        <v>41</v>
      </c>
      <c r="D13" s="4" t="s">
        <v>42</v>
      </c>
      <c r="E13" s="4"/>
      <c r="F13" s="4"/>
      <c r="G13" s="4"/>
      <c r="H13" s="5"/>
    </row>
    <row r="14" customFormat="false" ht="23.85" hidden="false" customHeight="false" outlineLevel="0" collapsed="false">
      <c r="A14" s="4" t="s">
        <v>33</v>
      </c>
      <c r="B14" s="4" t="s">
        <v>43</v>
      </c>
      <c r="C14" s="4" t="s">
        <v>44</v>
      </c>
      <c r="D14" s="4" t="s">
        <v>45</v>
      </c>
      <c r="E14" s="4"/>
      <c r="F14" s="4"/>
      <c r="G14" s="4"/>
      <c r="H14" s="5"/>
    </row>
    <row r="15" customFormat="false" ht="15" hidden="false" customHeight="false" outlineLevel="0" collapsed="false">
      <c r="A15" s="4" t="s">
        <v>46</v>
      </c>
      <c r="B15" s="4" t="s">
        <v>47</v>
      </c>
      <c r="C15" s="4" t="s">
        <v>48</v>
      </c>
      <c r="D15" s="4" t="s">
        <v>49</v>
      </c>
      <c r="E15" s="4"/>
      <c r="F15" s="4"/>
      <c r="G15" s="4"/>
      <c r="H15" s="5"/>
    </row>
    <row r="16" customFormat="false" ht="23.85" hidden="false" customHeight="false" outlineLevel="0" collapsed="false">
      <c r="A16" s="4" t="s">
        <v>46</v>
      </c>
      <c r="B16" s="4" t="s">
        <v>50</v>
      </c>
      <c r="C16" s="4" t="s">
        <v>51</v>
      </c>
      <c r="D16" s="4" t="s">
        <v>52</v>
      </c>
      <c r="E16" s="4"/>
      <c r="F16" s="4"/>
      <c r="G16" s="4"/>
      <c r="H16" s="5"/>
    </row>
    <row r="17" customFormat="false" ht="15" hidden="false" customHeight="false" outlineLevel="0" collapsed="false">
      <c r="A17" s="4" t="s">
        <v>46</v>
      </c>
      <c r="B17" s="4" t="s">
        <v>53</v>
      </c>
      <c r="C17" s="4" t="s">
        <v>54</v>
      </c>
      <c r="D17" s="4" t="s">
        <v>55</v>
      </c>
      <c r="E17" s="4"/>
      <c r="F17" s="4"/>
      <c r="G17" s="4"/>
      <c r="H17" s="5"/>
    </row>
    <row r="18" customFormat="false" ht="15" hidden="false" customHeight="false" outlineLevel="0" collapsed="false">
      <c r="A18" s="4" t="s">
        <v>46</v>
      </c>
      <c r="B18" s="4" t="s">
        <v>56</v>
      </c>
      <c r="C18" s="4" t="s">
        <v>57</v>
      </c>
      <c r="D18" s="4" t="s">
        <v>58</v>
      </c>
      <c r="E18" s="4"/>
      <c r="F18" s="4"/>
      <c r="G18" s="4"/>
      <c r="H18" s="5"/>
    </row>
    <row r="19" customFormat="false" ht="23.85" hidden="false" customHeight="false" outlineLevel="0" collapsed="false">
      <c r="A19" s="4" t="s">
        <v>46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5"/>
    </row>
    <row r="20" customFormat="false" ht="23.85" hidden="false" customHeight="false" outlineLevel="0" collapsed="false">
      <c r="A20" s="4" t="s">
        <v>62</v>
      </c>
      <c r="B20" s="4" t="s">
        <v>63</v>
      </c>
      <c r="C20" s="4" t="s">
        <v>64</v>
      </c>
      <c r="D20" s="4" t="s">
        <v>65</v>
      </c>
      <c r="E20" s="4"/>
      <c r="F20" s="4"/>
      <c r="G20" s="4"/>
      <c r="H20" s="5"/>
    </row>
    <row r="21" customFormat="false" ht="23.85" hidden="false" customHeight="false" outlineLevel="0" collapsed="false">
      <c r="A21" s="4" t="s">
        <v>62</v>
      </c>
      <c r="B21" s="4" t="s">
        <v>66</v>
      </c>
      <c r="C21" s="4" t="s">
        <v>67</v>
      </c>
      <c r="D21" s="4" t="s">
        <v>68</v>
      </c>
      <c r="E21" s="4"/>
      <c r="F21" s="4"/>
      <c r="G21" s="4"/>
      <c r="H21" s="5"/>
    </row>
    <row r="22" customFormat="false" ht="15" hidden="false" customHeight="false" outlineLevel="0" collapsed="false">
      <c r="A22" s="4" t="s">
        <v>62</v>
      </c>
      <c r="B22" s="4" t="s">
        <v>69</v>
      </c>
      <c r="C22" s="4" t="s">
        <v>70</v>
      </c>
      <c r="D22" s="4" t="s">
        <v>71</v>
      </c>
      <c r="E22" s="4"/>
      <c r="F22" s="4"/>
      <c r="G22" s="4"/>
      <c r="H22" s="5"/>
    </row>
    <row r="23" customFormat="false" ht="15" hidden="false" customHeight="false" outlineLevel="0" collapsed="false">
      <c r="A23" s="4" t="s">
        <v>72</v>
      </c>
      <c r="B23" s="4" t="s">
        <v>73</v>
      </c>
      <c r="C23" s="4" t="s">
        <v>74</v>
      </c>
      <c r="D23" s="4" t="s">
        <v>75</v>
      </c>
      <c r="E23" s="4"/>
      <c r="F23" s="4"/>
      <c r="G23" s="4"/>
      <c r="H23" s="5"/>
    </row>
    <row r="24" customFormat="false" ht="23.85" hidden="false" customHeight="false" outlineLevel="0" collapsed="false">
      <c r="A24" s="4" t="s">
        <v>72</v>
      </c>
      <c r="B24" s="4" t="s">
        <v>76</v>
      </c>
      <c r="C24" s="4" t="s">
        <v>77</v>
      </c>
      <c r="D24" s="4" t="s">
        <v>78</v>
      </c>
      <c r="E24" s="4"/>
      <c r="F24" s="4"/>
      <c r="G24" s="4"/>
      <c r="H24" s="5"/>
    </row>
    <row r="25" customFormat="false" ht="23.85" hidden="false" customHeight="false" outlineLevel="0" collapsed="false">
      <c r="A25" s="4" t="s">
        <v>72</v>
      </c>
      <c r="B25" s="4" t="s">
        <v>79</v>
      </c>
      <c r="C25" s="4" t="s">
        <v>80</v>
      </c>
      <c r="D25" s="4" t="s">
        <v>81</v>
      </c>
      <c r="E25" s="4"/>
      <c r="F25" s="4"/>
      <c r="G25" s="4"/>
      <c r="H25" s="5"/>
    </row>
    <row r="26" customFormat="false" ht="15" hidden="false" customHeight="false" outlineLevel="0" collapsed="false">
      <c r="A26" s="4" t="s">
        <v>82</v>
      </c>
      <c r="B26" s="4" t="s">
        <v>83</v>
      </c>
      <c r="C26" s="4" t="s">
        <v>84</v>
      </c>
      <c r="D26" s="4" t="s">
        <v>85</v>
      </c>
      <c r="E26" s="4"/>
      <c r="F26" s="4"/>
      <c r="G26" s="4"/>
      <c r="H26" s="5"/>
    </row>
    <row r="27" customFormat="false" ht="23.85" hidden="false" customHeight="false" outlineLevel="0" collapsed="false">
      <c r="A27" s="4" t="s">
        <v>82</v>
      </c>
      <c r="B27" s="4" t="s">
        <v>86</v>
      </c>
      <c r="C27" s="4" t="s">
        <v>87</v>
      </c>
      <c r="D27" s="4" t="s">
        <v>88</v>
      </c>
      <c r="E27" s="4"/>
      <c r="F27" s="4"/>
      <c r="G27" s="4"/>
      <c r="H27" s="5"/>
    </row>
  </sheetData>
  <autoFilter ref="A3:H27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4:F27" type="list">
      <formula1>"OK,Neshoda,Příležitost,N/A"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89</v>
      </c>
    </row>
    <row r="3" customFormat="false" ht="15" hidden="false" customHeight="false" outlineLevel="0" collapsed="false">
      <c r="A3" s="0" t="s">
        <v>7</v>
      </c>
      <c r="B3" s="0" t="s">
        <v>90</v>
      </c>
    </row>
    <row r="4" customFormat="false" ht="15" hidden="false" customHeight="false" outlineLevel="0" collapsed="false">
      <c r="A4" s="7" t="s">
        <v>91</v>
      </c>
      <c r="B4" s="0" t="n">
        <f aca="false">COUNTIF('Interní audit 4-10'!$F$4:$F$27,"OK")</f>
        <v>0</v>
      </c>
    </row>
    <row r="5" customFormat="false" ht="15" hidden="false" customHeight="false" outlineLevel="0" collapsed="false">
      <c r="A5" s="8" t="s">
        <v>92</v>
      </c>
      <c r="B5" s="0" t="n">
        <f aca="false">COUNTIF('Interní audit 4-10'!$F$4:$F$27,"Neshoda")</f>
        <v>0</v>
      </c>
    </row>
    <row r="6" customFormat="false" ht="15" hidden="false" customHeight="false" outlineLevel="0" collapsed="false">
      <c r="A6" s="9" t="s">
        <v>93</v>
      </c>
      <c r="B6" s="0" t="n">
        <f aca="false">COUNTIF('Interní audit 4-10'!$F$4:$F$27,"Příležitost")</f>
        <v>0</v>
      </c>
    </row>
    <row r="7" customFormat="false" ht="15" hidden="false" customHeight="false" outlineLevel="0" collapsed="false">
      <c r="A7" s="10" t="s">
        <v>94</v>
      </c>
      <c r="B7" s="0" t="n">
        <f aca="false">COUNTIF('Interní audit 4-10'!$F$4:$F$27,"N/A")</f>
        <v>0</v>
      </c>
    </row>
    <row r="8" customFormat="false" ht="15" hidden="false" customHeight="false" outlineLevel="0" collapsed="false">
      <c r="A8" s="11" t="s">
        <v>95</v>
      </c>
      <c r="B8" s="0" t="n">
        <v>24</v>
      </c>
    </row>
    <row r="10" customFormat="false" ht="15" hidden="false" customHeight="true" outlineLevel="0" collapsed="false">
      <c r="A10" s="12" t="s">
        <v>96</v>
      </c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</row>
  </sheetData>
  <mergeCells count="1">
    <mergeCell ref="A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2026-06-20T22:26:21Z</dcterms:created>
  <dc:creator>openpyxl</dc:creator>
  <dc:description/>
  <dc:language>en-US</dc:language>
  <cp:lastModifiedBy/>
  <dcterms:modified xsi:type="dcterms:W3CDTF">2026-06-20T22:26:21Z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