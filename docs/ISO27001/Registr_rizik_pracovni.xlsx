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 rizik" sheetId="1" state="visible" r:id="rId3"/>
    <sheet name="Souhrn" sheetId="2" state="visible" r:id="rId4"/>
  </sheets>
  <definedNames>
    <definedName function="false" hidden="true" localSheetId="0" name="_xlnm._FilterDatabase" vbProcedure="false">'Registr rizik'!$A$3:$L$25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<sst xmlns="http://schemas.openxmlformats.org/spreadsheetml/2006/main" count="196" uniqueCount="153">
  <si>
    <t xml:space="preserve">Registr rizik ISMS — STRATEGIE – System s.r.o. (předdraft DOC-05)</t>
  </si>
  <si>
    <t xml:space="preserve">Stupnice 1-5 (1=zanedbatelné, 5=kritické). Míra = Dopad × Pravděp. Úroveň: ≤6 Nízké, 7-14 Střední, ≥15 Vysoké. Hodnoty jsou návrh k odsouhlasení (Kristý + management review).</t>
  </si>
  <si>
    <t xml:space="preserve">ID</t>
  </si>
  <si>
    <t xml:space="preserve">Oblast / aktivum</t>
  </si>
  <si>
    <t xml:space="preserve">Hrozba / scénář</t>
  </si>
  <si>
    <t xml:space="preserve">Dopad (1-5)</t>
  </si>
  <si>
    <t xml:space="preserve">Pravděp. (1-5)</t>
  </si>
  <si>
    <t xml:space="preserve">Míra (D×P)</t>
  </si>
  <si>
    <t xml:space="preserve">Úroveň</t>
  </si>
  <si>
    <t xml:space="preserve">Stávající opatření</t>
  </si>
  <si>
    <t xml:space="preserve">Ošetření (plán)</t>
  </si>
  <si>
    <t xml:space="preserve">Vlastník</t>
  </si>
  <si>
    <t xml:space="preserve">Vazba Annex A</t>
  </si>
  <si>
    <t xml:space="preserve">Zbytkové riziko (cíl)</t>
  </si>
  <si>
    <t xml:space="preserve">R01</t>
  </si>
  <si>
    <t xml:space="preserve">Nasazení / kód</t>
  </si>
  <si>
    <t xml:space="preserve">Vadný deploy shodí produkci</t>
  </si>
  <si>
    <t xml:space="preserve">Blue-green + py_compile gate + advisory lock</t>
  </si>
  <si>
    <t xml:space="preserve">Restore drill; monitoring deploy; pin na B</t>
  </si>
  <si>
    <t xml:space="preserve">Claude+Marti</t>
  </si>
  <si>
    <t xml:space="preserve">A.8.19/8.32/5.29</t>
  </si>
  <si>
    <t xml:space="preserve">Nízké</t>
  </si>
  <si>
    <t xml:space="preserve">R02</t>
  </si>
  <si>
    <t xml:space="preserve">Databáze</t>
  </si>
  <si>
    <t xml:space="preserve">Ztráta / poškození data_db</t>
  </si>
  <si>
    <t xml:space="preserve">Denní zálohy ČMIS (03:00)</t>
  </si>
  <si>
    <t xml:space="preserve">Restore drill; retence ≥30 dní; offsite; at-rest</t>
  </si>
  <si>
    <t xml:space="preserve">A.8.13/5.30</t>
  </si>
  <si>
    <t xml:space="preserve">R03</t>
  </si>
  <si>
    <t xml:space="preserve">Osobní údaje</t>
  </si>
  <si>
    <t xml:space="preserve">Únik osobních údajů klientů</t>
  </si>
  <si>
    <t xml:space="preserve">RBAC + ACL + šifr. přenos + access logy</t>
  </si>
  <si>
    <t xml:space="preserve">DLP; DPIA; klasifikace dat</t>
  </si>
  <si>
    <t xml:space="preserve">Kristý (ISMS)</t>
  </si>
  <si>
    <t xml:space="preserve">A.5.34/8.12/8.3</t>
  </si>
  <si>
    <t xml:space="preserve">Střední</t>
  </si>
  <si>
    <t xml:space="preserve">R04</t>
  </si>
  <si>
    <t xml:space="preserve">Tajemství</t>
  </si>
  <si>
    <t xml:space="preserve">Kompromitace API klíčů / hesel</t>
  </si>
  <si>
    <t xml:space="preserve">Vault Fernet; AppEnvironmentExtra; nikdy v logu</t>
  </si>
  <si>
    <t xml:space="preserve">Rotace klíčů; secrets review</t>
  </si>
  <si>
    <t xml:space="preserve">A.5.17/8.24</t>
  </si>
  <si>
    <t xml:space="preserve">R05</t>
  </si>
  <si>
    <t xml:space="preserve">Závislosti</t>
  </si>
  <si>
    <t xml:space="preserve">Zranitelnost v knihovně (CVE)</t>
  </si>
  <si>
    <t xml:space="preserve">—</t>
  </si>
  <si>
    <t xml:space="preserve">pip-audit týdně + SLA patch (A.8.8)</t>
  </si>
  <si>
    <t xml:space="preserve">A.8.8</t>
  </si>
  <si>
    <t xml:space="preserve">R06</t>
  </si>
  <si>
    <t xml:space="preserve">Přístup</t>
  </si>
  <si>
    <t xml:space="preserve">Krádež přihlašovacích údajů</t>
  </si>
  <si>
    <t xml:space="preserve">2FA (PIN/SMS); single SIM; trusted devices</t>
  </si>
  <si>
    <t xml:space="preserve">MFA všude; čtvrtletní access review</t>
  </si>
  <si>
    <t xml:space="preserve">A.8.5/5.18</t>
  </si>
  <si>
    <t xml:space="preserve">R07</t>
  </si>
  <si>
    <t xml:space="preserve">Privileg. přístup</t>
  </si>
  <si>
    <t xml:space="preserve">Zneužití privilegovaného přístupu / impersonace</t>
  </si>
  <si>
    <t xml:space="preserve">impersonation_log; 3-actor PG; approval banner</t>
  </si>
  <si>
    <t xml:space="preserve">Least-privilege review; oddělení rolí</t>
  </si>
  <si>
    <t xml:space="preserve">A.8.2/5.3</t>
  </si>
  <si>
    <t xml:space="preserve">R08</t>
  </si>
  <si>
    <t xml:space="preserve">Dodavatelé</t>
  </si>
  <si>
    <t xml:space="preserve">Výpadek klíčového dodavatele (AI / cloud)</t>
  </si>
  <si>
    <t xml:space="preserve">Degradovaný režim; SLA dodavatele; DPA</t>
  </si>
  <si>
    <t xml:space="preserve">A.5.22/5.30</t>
  </si>
  <si>
    <t xml:space="preserve">R09</t>
  </si>
  <si>
    <t xml:space="preserve">Ztráta klíče trezoru (vault)</t>
  </si>
  <si>
    <t xml:space="preserve">Klíč mimo DB (AppEnvironmentExtra)</t>
  </si>
  <si>
    <t xml:space="preserve">Offline záloha klíče; dokumentovaný postup obnovy</t>
  </si>
  <si>
    <t xml:space="preserve">Marti</t>
  </si>
  <si>
    <t xml:space="preserve">A.8.24/5.30</t>
  </si>
  <si>
    <t xml:space="preserve">R10</t>
  </si>
  <si>
    <t xml:space="preserve">On-prem</t>
  </si>
  <si>
    <t xml:space="preserve">Výpadek EC-SERVER2 (MSSQL Centrála/Helios)</t>
  </si>
  <si>
    <t xml:space="preserve">Zrcadlo v PG → degradovaný běh STRATEGIE</t>
  </si>
  <si>
    <t xml:space="preserve">EUROSOFT DR; attestace</t>
  </si>
  <si>
    <t xml:space="preserve">EUROSOFT</t>
  </si>
  <si>
    <t xml:space="preserve">A.5.30</t>
  </si>
  <si>
    <t xml:space="preserve">R11</t>
  </si>
  <si>
    <t xml:space="preserve">Stanice</t>
  </si>
  <si>
    <t xml:space="preserve">Ransomware / malware na stanici</t>
  </si>
  <si>
    <t xml:space="preserve">ESET; na stanicích nejsou zákaznická data</t>
  </si>
  <si>
    <t xml:space="preserve">Endpoint politika; šifrování disku</t>
  </si>
  <si>
    <t xml:space="preserve">A.8.7/8.1</t>
  </si>
  <si>
    <t xml:space="preserve">R12</t>
  </si>
  <si>
    <t xml:space="preserve">AI / LLM</t>
  </si>
  <si>
    <t xml:space="preserve">Chybná autonomní akce AI</t>
  </si>
  <si>
    <t xml:space="preserve">Approval banner u zápisů; audit; „AI nevidí víc než user“</t>
  </si>
  <si>
    <t xml:space="preserve">Human-in-loop u rizik. operací; review</t>
  </si>
  <si>
    <t xml:space="preserve">A.8.34/5.8</t>
  </si>
  <si>
    <t xml:space="preserve">R13</t>
  </si>
  <si>
    <t xml:space="preserve">AI / dodavatel</t>
  </si>
  <si>
    <t xml:space="preserve">Únik dat přes AI sub-processora</t>
  </si>
  <si>
    <t xml:space="preserve">Minimalizace kontextu; ACL</t>
  </si>
  <si>
    <t xml:space="preserve">DPA; pravidla co posílat do LLM</t>
  </si>
  <si>
    <t xml:space="preserve">A.5.19/8.12</t>
  </si>
  <si>
    <t xml:space="preserve">R14</t>
  </si>
  <si>
    <t xml:space="preserve">Kontinuita</t>
  </si>
  <si>
    <t xml:space="preserve">Záloha nepoužitelná při potřebě (neotestovaná)</t>
  </si>
  <si>
    <t xml:space="preserve">Denní zálohy existují</t>
  </si>
  <si>
    <t xml:space="preserve">Restore drill čtvrtletně + záznam</t>
  </si>
  <si>
    <t xml:space="preserve">A.5.30/8.13</t>
  </si>
  <si>
    <t xml:space="preserve">R15</t>
  </si>
  <si>
    <t xml:space="preserve">GDPR</t>
  </si>
  <si>
    <t xml:space="preserve">Neshoda v retenci / výmazu osobních dat</t>
  </si>
  <si>
    <t xml:space="preserve">Soft delete; request_forget; anonymizace</t>
  </si>
  <si>
    <t xml:space="preserve">Retenční politika; DPIA</t>
  </si>
  <si>
    <t xml:space="preserve">A.5.34/8.10</t>
  </si>
  <si>
    <t xml:space="preserve">R16</t>
  </si>
  <si>
    <t xml:space="preserve">Lidé</t>
  </si>
  <si>
    <t xml:space="preserve">Lidská chyba / sociální inženýrství</t>
  </si>
  <si>
    <t xml:space="preserve">Školení + osvěta; hlášení událostí</t>
  </si>
  <si>
    <t xml:space="preserve">A.6.3/6.8</t>
  </si>
  <si>
    <t xml:space="preserve">R17</t>
  </si>
  <si>
    <t xml:space="preserve">Síť</t>
  </si>
  <si>
    <t xml:space="preserve">Síťový útok / neoprávněný přístup zvenčí</t>
  </si>
  <si>
    <t xml:space="preserve">Mikrotik whitelist; Caddy; HTTPS; scanner filtr</t>
  </si>
  <si>
    <t xml:space="preserve">Segmentace; monitoring + alerting</t>
  </si>
  <si>
    <t xml:space="preserve">A.8.20/8.16</t>
  </si>
  <si>
    <t xml:space="preserve">R18</t>
  </si>
  <si>
    <t xml:space="preserve">SMS brána</t>
  </si>
  <si>
    <t xml:space="preserve">Kompromitace / výpadek SMS brány (vlastní SIM)</t>
  </si>
  <si>
    <t xml:space="preserve">Vlastní SIM; caller_id</t>
  </si>
  <si>
    <t xml:space="preserve">Záložní kanál; monitoring</t>
  </si>
  <si>
    <t xml:space="preserve">A.8.21/5.14</t>
  </si>
  <si>
    <t xml:space="preserve">R19</t>
  </si>
  <si>
    <t xml:space="preserve">ČSSZ / datovky</t>
  </si>
  <si>
    <t xml:space="preserve">Chybné / opožděné podání (NEMPRI) na ČSSZ</t>
  </si>
  <si>
    <t xml:space="preserve">Audit dávek; měsíční kontrola</t>
  </si>
  <si>
    <t xml:space="preserve">Dvojitá kontrola; záznam</t>
  </si>
  <si>
    <t xml:space="preserve">Kristý/Claude</t>
  </si>
  <si>
    <t xml:space="preserve">A.5.28</t>
  </si>
  <si>
    <t xml:space="preserve">R20</t>
  </si>
  <si>
    <t xml:space="preserve">Audit</t>
  </si>
  <si>
    <t xml:space="preserve">Mezera v auditní stopě / tamper</t>
  </si>
  <si>
    <t xml:space="preserve">22 audit tabulek append-only</t>
  </si>
  <si>
    <t xml:space="preserve">Hash-chain (volit.); pravidelná revize logů</t>
  </si>
  <si>
    <t xml:space="preserve">A.8.15/5.28</t>
  </si>
  <si>
    <t xml:space="preserve">R21</t>
  </si>
  <si>
    <t xml:space="preserve">Odchod klíčové osoby (znalostní riziko)</t>
  </si>
  <si>
    <t xml:space="preserve">CLAUDE.md krabička; dokumentace</t>
  </si>
  <si>
    <t xml:space="preserve">Oddělení rolí; zástupnost</t>
  </si>
  <si>
    <t xml:space="preserve">A.5.3/6.5</t>
  </si>
  <si>
    <t xml:space="preserve">R22</t>
  </si>
  <si>
    <t xml:space="preserve">Mobilní app</t>
  </si>
  <si>
    <t xml:space="preserve">Kompromitace mobilního zařízení</t>
  </si>
  <si>
    <t xml:space="preserve">Token auth; allowBackup=false</t>
  </si>
  <si>
    <t xml:space="preserve">Endpoint/MDM politika</t>
  </si>
  <si>
    <t xml:space="preserve">A.8.1/6.7</t>
  </si>
  <si>
    <t xml:space="preserve">Souhrn rizik</t>
  </si>
  <si>
    <t xml:space="preserve">Vysoké</t>
  </si>
  <si>
    <t xml:space="preserve">Celkem rizik</t>
  </si>
  <si>
    <t xml:space="preserve">Pozn.: Dopad/Pravděp. jsou návrh — Kristý upraví dle reality; Míra a Úroveň se přepočítají. Vysoká/střední rizika → plán ošetření (DOC-07) + termín. Zbytkové riziko = cílový stav po ošetření.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</si>
</sst>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34"/>
    <col collapsed="false" customWidth="true" hidden="false" outlineLevel="0" max="10" min="10" style="0" width="15"/>
    <col collapsed="false" customWidth="true" hidden="false" outlineLevel="0" max="12" min="11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23.85" hidden="false" customHeight="false" outlineLevel="0" collapsed="false">
      <c r="A4" s="4" t="s">
        <v>14</v>
      </c>
      <c r="B4" s="5" t="s">
        <v>15</v>
      </c>
      <c r="C4" s="5" t="s">
        <v>16</v>
      </c>
      <c r="D4" s="4" t="n">
        <v>4</v>
      </c>
      <c r="E4" s="4" t="n">
        <v>3</v>
      </c>
      <c r="F4" s="4" t="n">
        <f aca="false">D4*E4</f>
        <v>12</v>
      </c>
      <c r="G4" s="4" t="str">
        <f aca="false">IF(F4&gt;=15,"Vysoké",IF(F4&gt;=7,"Střední","Nízké"))</f>
        <v>Střední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</row>
    <row r="5" customFormat="false" ht="23.85" hidden="false" customHeight="false" outlineLevel="0" collapsed="false">
      <c r="A5" s="4" t="s">
        <v>22</v>
      </c>
      <c r="B5" s="5" t="s">
        <v>23</v>
      </c>
      <c r="C5" s="5" t="s">
        <v>24</v>
      </c>
      <c r="D5" s="4" t="n">
        <v>5</v>
      </c>
      <c r="E5" s="4" t="n">
        <v>2</v>
      </c>
      <c r="F5" s="4" t="n">
        <f aca="false">D5*E5</f>
        <v>10</v>
      </c>
      <c r="G5" s="4" t="str">
        <f aca="false">IF(F5&gt;=15,"Vysoké",IF(F5&gt;=7,"Střední","Nízké"))</f>
        <v>Střední</v>
      </c>
      <c r="H5" s="5" t="s">
        <v>25</v>
      </c>
      <c r="I5" s="5" t="s">
        <v>26</v>
      </c>
      <c r="J5" s="5" t="s">
        <v>19</v>
      </c>
      <c r="K5" s="5" t="s">
        <v>27</v>
      </c>
      <c r="L5" s="5" t="s">
        <v>21</v>
      </c>
    </row>
    <row r="6" customFormat="false" ht="15" hidden="false" customHeight="false" outlineLevel="0" collapsed="false">
      <c r="A6" s="4" t="s">
        <v>28</v>
      </c>
      <c r="B6" s="5" t="s">
        <v>29</v>
      </c>
      <c r="C6" s="5" t="s">
        <v>30</v>
      </c>
      <c r="D6" s="4" t="n">
        <v>5</v>
      </c>
      <c r="E6" s="4" t="n">
        <v>2</v>
      </c>
      <c r="F6" s="4" t="n">
        <f aca="false">D6*E6</f>
        <v>10</v>
      </c>
      <c r="G6" s="4" t="str">
        <f aca="false">IF(F6&gt;=15,"Vysoké",IF(F6&gt;=7,"Střední","Nízké"))</f>
        <v>Střední</v>
      </c>
      <c r="H6" s="5" t="s">
        <v>31</v>
      </c>
      <c r="I6" s="5" t="s">
        <v>32</v>
      </c>
      <c r="J6" s="5" t="s">
        <v>33</v>
      </c>
      <c r="K6" s="5" t="s">
        <v>34</v>
      </c>
      <c r="L6" s="5" t="s">
        <v>35</v>
      </c>
    </row>
    <row r="7" customFormat="false" ht="23.85" hidden="false" customHeight="false" outlineLevel="0" collapsed="false">
      <c r="A7" s="4" t="s">
        <v>36</v>
      </c>
      <c r="B7" s="5" t="s">
        <v>37</v>
      </c>
      <c r="C7" s="5" t="s">
        <v>38</v>
      </c>
      <c r="D7" s="4" t="n">
        <v>4</v>
      </c>
      <c r="E7" s="4" t="n">
        <v>2</v>
      </c>
      <c r="F7" s="4" t="n">
        <f aca="false">D7*E7</f>
        <v>8</v>
      </c>
      <c r="G7" s="4" t="str">
        <f aca="false">IF(F7&gt;=15,"Vysoké",IF(F7&gt;=7,"Střední","Nízké"))</f>
        <v>Střední</v>
      </c>
      <c r="H7" s="5" t="s">
        <v>39</v>
      </c>
      <c r="I7" s="5" t="s">
        <v>40</v>
      </c>
      <c r="J7" s="5" t="s">
        <v>19</v>
      </c>
      <c r="K7" s="5" t="s">
        <v>41</v>
      </c>
      <c r="L7" s="5" t="s">
        <v>21</v>
      </c>
    </row>
    <row r="8" customFormat="false" ht="15" hidden="false" customHeight="false" outlineLevel="0" collapsed="false">
      <c r="A8" s="4" t="s">
        <v>42</v>
      </c>
      <c r="B8" s="5" t="s">
        <v>43</v>
      </c>
      <c r="C8" s="5" t="s">
        <v>44</v>
      </c>
      <c r="D8" s="4" t="n">
        <v>3</v>
      </c>
      <c r="E8" s="4" t="n">
        <v>3</v>
      </c>
      <c r="F8" s="4" t="n">
        <f aca="false">D8*E8</f>
        <v>9</v>
      </c>
      <c r="G8" s="4" t="str">
        <f aca="false">IF(F8&gt;=15,"Vysoké",IF(F8&gt;=7,"Střední","Nízké"))</f>
        <v>Střední</v>
      </c>
      <c r="H8" s="5" t="s">
        <v>45</v>
      </c>
      <c r="I8" s="5" t="s">
        <v>46</v>
      </c>
      <c r="J8" s="5" t="s">
        <v>19</v>
      </c>
      <c r="K8" s="5" t="s">
        <v>47</v>
      </c>
      <c r="L8" s="5" t="s">
        <v>21</v>
      </c>
    </row>
    <row r="9" customFormat="false" ht="23.85" hidden="false" customHeight="false" outlineLevel="0" collapsed="false">
      <c r="A9" s="4" t="s">
        <v>48</v>
      </c>
      <c r="B9" s="5" t="s">
        <v>49</v>
      </c>
      <c r="C9" s="5" t="s">
        <v>50</v>
      </c>
      <c r="D9" s="4" t="n">
        <v>4</v>
      </c>
      <c r="E9" s="4" t="n">
        <v>2</v>
      </c>
      <c r="F9" s="4" t="n">
        <f aca="false">D9*E9</f>
        <v>8</v>
      </c>
      <c r="G9" s="4" t="str">
        <f aca="false">IF(F9&gt;=15,"Vysoké",IF(F9&gt;=7,"Střední","Nízké"))</f>
        <v>Střední</v>
      </c>
      <c r="H9" s="5" t="s">
        <v>51</v>
      </c>
      <c r="I9" s="5" t="s">
        <v>52</v>
      </c>
      <c r="J9" s="5" t="s">
        <v>19</v>
      </c>
      <c r="K9" s="5" t="s">
        <v>53</v>
      </c>
      <c r="L9" s="5" t="s">
        <v>21</v>
      </c>
    </row>
    <row r="10" customFormat="false" ht="23.85" hidden="false" customHeight="false" outlineLevel="0" collapsed="false">
      <c r="A10" s="4" t="s">
        <v>54</v>
      </c>
      <c r="B10" s="5" t="s">
        <v>55</v>
      </c>
      <c r="C10" s="5" t="s">
        <v>56</v>
      </c>
      <c r="D10" s="4" t="n">
        <v>4</v>
      </c>
      <c r="E10" s="4" t="n">
        <v>2</v>
      </c>
      <c r="F10" s="4" t="n">
        <f aca="false">D10*E10</f>
        <v>8</v>
      </c>
      <c r="G10" s="4" t="str">
        <f aca="false">IF(F10&gt;=15,"Vysoké",IF(F10&gt;=7,"Střední","Nízké"))</f>
        <v>Střední</v>
      </c>
      <c r="H10" s="5" t="s">
        <v>57</v>
      </c>
      <c r="I10" s="5" t="s">
        <v>58</v>
      </c>
      <c r="J10" s="5" t="s">
        <v>19</v>
      </c>
      <c r="K10" s="5" t="s">
        <v>59</v>
      </c>
      <c r="L10" s="5" t="s">
        <v>21</v>
      </c>
    </row>
    <row r="11" customFormat="false" ht="23.85" hidden="false" customHeight="false" outlineLevel="0" collapsed="false">
      <c r="A11" s="4" t="s">
        <v>60</v>
      </c>
      <c r="B11" s="5" t="s">
        <v>61</v>
      </c>
      <c r="C11" s="5" t="s">
        <v>62</v>
      </c>
      <c r="D11" s="4" t="n">
        <v>3</v>
      </c>
      <c r="E11" s="4" t="n">
        <v>3</v>
      </c>
      <c r="F11" s="4" t="n">
        <f aca="false">D11*E11</f>
        <v>9</v>
      </c>
      <c r="G11" s="4" t="str">
        <f aca="false">IF(F11&gt;=15,"Vysoké",IF(F11&gt;=7,"Střední","Nízké"))</f>
        <v>Střední</v>
      </c>
      <c r="H11" s="5" t="s">
        <v>45</v>
      </c>
      <c r="I11" s="5" t="s">
        <v>63</v>
      </c>
      <c r="J11" s="5" t="s">
        <v>33</v>
      </c>
      <c r="K11" s="5" t="s">
        <v>64</v>
      </c>
      <c r="L11" s="5" t="s">
        <v>35</v>
      </c>
    </row>
    <row r="12" customFormat="false" ht="23.85" hidden="false" customHeight="false" outlineLevel="0" collapsed="false">
      <c r="A12" s="4" t="s">
        <v>65</v>
      </c>
      <c r="B12" s="5" t="s">
        <v>37</v>
      </c>
      <c r="C12" s="5" t="s">
        <v>66</v>
      </c>
      <c r="D12" s="4" t="n">
        <v>5</v>
      </c>
      <c r="E12" s="4" t="n">
        <v>1</v>
      </c>
      <c r="F12" s="4" t="n">
        <f aca="false">D12*E12</f>
        <v>5</v>
      </c>
      <c r="G12" s="4" t="str">
        <f aca="false">IF(F12&gt;=15,"Vysoké",IF(F12&gt;=7,"Střední","Nízké"))</f>
        <v>Nízké</v>
      </c>
      <c r="H12" s="5" t="s">
        <v>67</v>
      </c>
      <c r="I12" s="5" t="s">
        <v>68</v>
      </c>
      <c r="J12" s="5" t="s">
        <v>69</v>
      </c>
      <c r="K12" s="5" t="s">
        <v>70</v>
      </c>
      <c r="L12" s="5" t="s">
        <v>21</v>
      </c>
    </row>
    <row r="13" customFormat="false" ht="23.85" hidden="false" customHeight="false" outlineLevel="0" collapsed="false">
      <c r="A13" s="4" t="s">
        <v>71</v>
      </c>
      <c r="B13" s="5" t="s">
        <v>72</v>
      </c>
      <c r="C13" s="5" t="s">
        <v>73</v>
      </c>
      <c r="D13" s="4" t="n">
        <v>3</v>
      </c>
      <c r="E13" s="4" t="n">
        <v>2</v>
      </c>
      <c r="F13" s="4" t="n">
        <f aca="false">D13*E13</f>
        <v>6</v>
      </c>
      <c r="G13" s="4" t="str">
        <f aca="false">IF(F13&gt;=15,"Vysoké",IF(F13&gt;=7,"Střední","Nízké"))</f>
        <v>Nízké</v>
      </c>
      <c r="H13" s="5" t="s">
        <v>74</v>
      </c>
      <c r="I13" s="5" t="s">
        <v>75</v>
      </c>
      <c r="J13" s="5" t="s">
        <v>76</v>
      </c>
      <c r="K13" s="5" t="s">
        <v>77</v>
      </c>
      <c r="L13" s="5" t="s">
        <v>21</v>
      </c>
    </row>
    <row r="14" customFormat="false" ht="23.85" hidden="false" customHeight="false" outlineLevel="0" collapsed="false">
      <c r="A14" s="4" t="s">
        <v>78</v>
      </c>
      <c r="B14" s="5" t="s">
        <v>79</v>
      </c>
      <c r="C14" s="5" t="s">
        <v>80</v>
      </c>
      <c r="D14" s="4" t="n">
        <v>4</v>
      </c>
      <c r="E14" s="4" t="n">
        <v>2</v>
      </c>
      <c r="F14" s="4" t="n">
        <f aca="false">D14*E14</f>
        <v>8</v>
      </c>
      <c r="G14" s="4" t="str">
        <f aca="false">IF(F14&gt;=15,"Vysoké",IF(F14&gt;=7,"Střední","Nízké"))</f>
        <v>Střední</v>
      </c>
      <c r="H14" s="5" t="s">
        <v>81</v>
      </c>
      <c r="I14" s="5" t="s">
        <v>82</v>
      </c>
      <c r="J14" s="5" t="s">
        <v>76</v>
      </c>
      <c r="K14" s="5" t="s">
        <v>83</v>
      </c>
      <c r="L14" s="5" t="s">
        <v>21</v>
      </c>
    </row>
    <row r="15" customFormat="false" ht="23.85" hidden="false" customHeight="false" outlineLevel="0" collapsed="false">
      <c r="A15" s="4" t="s">
        <v>84</v>
      </c>
      <c r="B15" s="5" t="s">
        <v>85</v>
      </c>
      <c r="C15" s="5" t="s">
        <v>86</v>
      </c>
      <c r="D15" s="4" t="n">
        <v>3</v>
      </c>
      <c r="E15" s="4" t="n">
        <v>3</v>
      </c>
      <c r="F15" s="4" t="n">
        <f aca="false">D15*E15</f>
        <v>9</v>
      </c>
      <c r="G15" s="4" t="str">
        <f aca="false">IF(F15&gt;=15,"Vysoké",IF(F15&gt;=7,"Střední","Nízké"))</f>
        <v>Střední</v>
      </c>
      <c r="H15" s="5" t="s">
        <v>87</v>
      </c>
      <c r="I15" s="5" t="s">
        <v>88</v>
      </c>
      <c r="J15" s="5" t="s">
        <v>19</v>
      </c>
      <c r="K15" s="5" t="s">
        <v>89</v>
      </c>
      <c r="L15" s="5" t="s">
        <v>21</v>
      </c>
    </row>
    <row r="16" customFormat="false" ht="15" hidden="false" customHeight="false" outlineLevel="0" collapsed="false">
      <c r="A16" s="4" t="s">
        <v>90</v>
      </c>
      <c r="B16" s="5" t="s">
        <v>91</v>
      </c>
      <c r="C16" s="5" t="s">
        <v>92</v>
      </c>
      <c r="D16" s="4" t="n">
        <v>4</v>
      </c>
      <c r="E16" s="4" t="n">
        <v>2</v>
      </c>
      <c r="F16" s="4" t="n">
        <f aca="false">D16*E16</f>
        <v>8</v>
      </c>
      <c r="G16" s="4" t="str">
        <f aca="false">IF(F16&gt;=15,"Vysoké",IF(F16&gt;=7,"Střední","Nízké"))</f>
        <v>Střední</v>
      </c>
      <c r="H16" s="5" t="s">
        <v>93</v>
      </c>
      <c r="I16" s="5" t="s">
        <v>94</v>
      </c>
      <c r="J16" s="5" t="s">
        <v>33</v>
      </c>
      <c r="K16" s="5" t="s">
        <v>95</v>
      </c>
      <c r="L16" s="5" t="s">
        <v>35</v>
      </c>
    </row>
    <row r="17" customFormat="false" ht="23.85" hidden="false" customHeight="false" outlineLevel="0" collapsed="false">
      <c r="A17" s="4" t="s">
        <v>96</v>
      </c>
      <c r="B17" s="5" t="s">
        <v>97</v>
      </c>
      <c r="C17" s="5" t="s">
        <v>98</v>
      </c>
      <c r="D17" s="4" t="n">
        <v>4</v>
      </c>
      <c r="E17" s="4" t="n">
        <v>2</v>
      </c>
      <c r="F17" s="4" t="n">
        <f aca="false">D17*E17</f>
        <v>8</v>
      </c>
      <c r="G17" s="4" t="str">
        <f aca="false">IF(F17&gt;=15,"Vysoké",IF(F17&gt;=7,"Střední","Nízké"))</f>
        <v>Střední</v>
      </c>
      <c r="H17" s="5" t="s">
        <v>99</v>
      </c>
      <c r="I17" s="5" t="s">
        <v>100</v>
      </c>
      <c r="J17" s="5" t="s">
        <v>19</v>
      </c>
      <c r="K17" s="5" t="s">
        <v>101</v>
      </c>
      <c r="L17" s="5" t="s">
        <v>21</v>
      </c>
    </row>
    <row r="18" customFormat="false" ht="23.85" hidden="false" customHeight="false" outlineLevel="0" collapsed="false">
      <c r="A18" s="4" t="s">
        <v>102</v>
      </c>
      <c r="B18" s="5" t="s">
        <v>103</v>
      </c>
      <c r="C18" s="5" t="s">
        <v>104</v>
      </c>
      <c r="D18" s="4" t="n">
        <v>3</v>
      </c>
      <c r="E18" s="4" t="n">
        <v>2</v>
      </c>
      <c r="F18" s="4" t="n">
        <f aca="false">D18*E18</f>
        <v>6</v>
      </c>
      <c r="G18" s="4" t="str">
        <f aca="false">IF(F18&gt;=15,"Vysoké",IF(F18&gt;=7,"Střední","Nízké"))</f>
        <v>Nízké</v>
      </c>
      <c r="H18" s="5" t="s">
        <v>105</v>
      </c>
      <c r="I18" s="5" t="s">
        <v>106</v>
      </c>
      <c r="J18" s="5" t="s">
        <v>33</v>
      </c>
      <c r="K18" s="5" t="s">
        <v>107</v>
      </c>
      <c r="L18" s="5" t="s">
        <v>21</v>
      </c>
    </row>
    <row r="19" customFormat="false" ht="15" hidden="false" customHeight="false" outlineLevel="0" collapsed="false">
      <c r="A19" s="4" t="s">
        <v>108</v>
      </c>
      <c r="B19" s="5" t="s">
        <v>109</v>
      </c>
      <c r="C19" s="5" t="s">
        <v>110</v>
      </c>
      <c r="D19" s="4" t="n">
        <v>3</v>
      </c>
      <c r="E19" s="4" t="n">
        <v>3</v>
      </c>
      <c r="F19" s="4" t="n">
        <f aca="false">D19*E19</f>
        <v>9</v>
      </c>
      <c r="G19" s="4" t="str">
        <f aca="false">IF(F19&gt;=15,"Vysoké",IF(F19&gt;=7,"Střední","Nízké"))</f>
        <v>Střední</v>
      </c>
      <c r="H19" s="5" t="s">
        <v>45</v>
      </c>
      <c r="I19" s="5" t="s">
        <v>111</v>
      </c>
      <c r="J19" s="5" t="s">
        <v>33</v>
      </c>
      <c r="K19" s="5" t="s">
        <v>112</v>
      </c>
      <c r="L19" s="5" t="s">
        <v>35</v>
      </c>
    </row>
    <row r="20" customFormat="false" ht="23.85" hidden="false" customHeight="false" outlineLevel="0" collapsed="false">
      <c r="A20" s="4" t="s">
        <v>113</v>
      </c>
      <c r="B20" s="5" t="s">
        <v>114</v>
      </c>
      <c r="C20" s="5" t="s">
        <v>115</v>
      </c>
      <c r="D20" s="4" t="n">
        <v>4</v>
      </c>
      <c r="E20" s="4" t="n">
        <v>2</v>
      </c>
      <c r="F20" s="4" t="n">
        <f aca="false">D20*E20</f>
        <v>8</v>
      </c>
      <c r="G20" s="4" t="str">
        <f aca="false">IF(F20&gt;=15,"Vysoké",IF(F20&gt;=7,"Střední","Nízké"))</f>
        <v>Střední</v>
      </c>
      <c r="H20" s="5" t="s">
        <v>116</v>
      </c>
      <c r="I20" s="5" t="s">
        <v>117</v>
      </c>
      <c r="J20" s="5" t="s">
        <v>19</v>
      </c>
      <c r="K20" s="5" t="s">
        <v>118</v>
      </c>
      <c r="L20" s="5" t="s">
        <v>21</v>
      </c>
    </row>
    <row r="21" customFormat="false" ht="23.85" hidden="false" customHeight="false" outlineLevel="0" collapsed="false">
      <c r="A21" s="4" t="s">
        <v>119</v>
      </c>
      <c r="B21" s="5" t="s">
        <v>120</v>
      </c>
      <c r="C21" s="5" t="s">
        <v>121</v>
      </c>
      <c r="D21" s="4" t="n">
        <v>3</v>
      </c>
      <c r="E21" s="4" t="n">
        <v>2</v>
      </c>
      <c r="F21" s="4" t="n">
        <f aca="false">D21*E21</f>
        <v>6</v>
      </c>
      <c r="G21" s="4" t="str">
        <f aca="false">IF(F21&gt;=15,"Vysoké",IF(F21&gt;=7,"Střední","Nízké"))</f>
        <v>Nízké</v>
      </c>
      <c r="H21" s="5" t="s">
        <v>122</v>
      </c>
      <c r="I21" s="5" t="s">
        <v>123</v>
      </c>
      <c r="J21" s="5" t="s">
        <v>19</v>
      </c>
      <c r="K21" s="5" t="s">
        <v>124</v>
      </c>
      <c r="L21" s="5" t="s">
        <v>21</v>
      </c>
    </row>
    <row r="22" customFormat="false" ht="23.85" hidden="false" customHeight="false" outlineLevel="0" collapsed="false">
      <c r="A22" s="4" t="s">
        <v>125</v>
      </c>
      <c r="B22" s="5" t="s">
        <v>126</v>
      </c>
      <c r="C22" s="5" t="s">
        <v>127</v>
      </c>
      <c r="D22" s="4" t="n">
        <v>3</v>
      </c>
      <c r="E22" s="4" t="n">
        <v>2</v>
      </c>
      <c r="F22" s="4" t="n">
        <f aca="false">D22*E22</f>
        <v>6</v>
      </c>
      <c r="G22" s="4" t="str">
        <f aca="false">IF(F22&gt;=15,"Vysoké",IF(F22&gt;=7,"Střední","Nízké"))</f>
        <v>Nízké</v>
      </c>
      <c r="H22" s="5" t="s">
        <v>128</v>
      </c>
      <c r="I22" s="5" t="s">
        <v>129</v>
      </c>
      <c r="J22" s="5" t="s">
        <v>130</v>
      </c>
      <c r="K22" s="5" t="s">
        <v>131</v>
      </c>
      <c r="L22" s="5" t="s">
        <v>21</v>
      </c>
    </row>
    <row r="23" customFormat="false" ht="15" hidden="false" customHeight="false" outlineLevel="0" collapsed="false">
      <c r="A23" s="4" t="s">
        <v>132</v>
      </c>
      <c r="B23" s="5" t="s">
        <v>133</v>
      </c>
      <c r="C23" s="5" t="s">
        <v>134</v>
      </c>
      <c r="D23" s="4" t="n">
        <v>3</v>
      </c>
      <c r="E23" s="4" t="n">
        <v>2</v>
      </c>
      <c r="F23" s="4" t="n">
        <f aca="false">D23*E23</f>
        <v>6</v>
      </c>
      <c r="G23" s="4" t="str">
        <f aca="false">IF(F23&gt;=15,"Vysoké",IF(F23&gt;=7,"Střední","Nízké"))</f>
        <v>Nízké</v>
      </c>
      <c r="H23" s="5" t="s">
        <v>135</v>
      </c>
      <c r="I23" s="5" t="s">
        <v>136</v>
      </c>
      <c r="J23" s="5" t="s">
        <v>19</v>
      </c>
      <c r="K23" s="5" t="s">
        <v>137</v>
      </c>
      <c r="L23" s="5" t="s">
        <v>21</v>
      </c>
    </row>
    <row r="24" customFormat="false" ht="23.85" hidden="false" customHeight="false" outlineLevel="0" collapsed="false">
      <c r="A24" s="4" t="s">
        <v>138</v>
      </c>
      <c r="B24" s="5" t="s">
        <v>109</v>
      </c>
      <c r="C24" s="5" t="s">
        <v>139</v>
      </c>
      <c r="D24" s="4" t="n">
        <v>3</v>
      </c>
      <c r="E24" s="4" t="n">
        <v>2</v>
      </c>
      <c r="F24" s="4" t="n">
        <f aca="false">D24*E24</f>
        <v>6</v>
      </c>
      <c r="G24" s="4" t="str">
        <f aca="false">IF(F24&gt;=15,"Vysoké",IF(F24&gt;=7,"Střední","Nízké"))</f>
        <v>Nízké</v>
      </c>
      <c r="H24" s="5" t="s">
        <v>140</v>
      </c>
      <c r="I24" s="5" t="s">
        <v>141</v>
      </c>
      <c r="J24" s="5" t="s">
        <v>69</v>
      </c>
      <c r="K24" s="5" t="s">
        <v>142</v>
      </c>
      <c r="L24" s="5" t="s">
        <v>21</v>
      </c>
    </row>
    <row r="25" customFormat="false" ht="15" hidden="false" customHeight="false" outlineLevel="0" collapsed="false">
      <c r="A25" s="4" t="s">
        <v>143</v>
      </c>
      <c r="B25" s="5" t="s">
        <v>144</v>
      </c>
      <c r="C25" s="5" t="s">
        <v>145</v>
      </c>
      <c r="D25" s="4" t="n">
        <v>3</v>
      </c>
      <c r="E25" s="4" t="n">
        <v>2</v>
      </c>
      <c r="F25" s="4" t="n">
        <f aca="false">D25*E25</f>
        <v>6</v>
      </c>
      <c r="G25" s="4" t="str">
        <f aca="false">IF(F25&gt;=15,"Vysoké",IF(F25&gt;=7,"Střední","Nízké"))</f>
        <v>Nízké</v>
      </c>
      <c r="H25" s="5" t="s">
        <v>146</v>
      </c>
      <c r="I25" s="5" t="s">
        <v>147</v>
      </c>
      <c r="J25" s="5" t="s">
        <v>19</v>
      </c>
      <c r="K25" s="5" t="s">
        <v>148</v>
      </c>
      <c r="L25" s="5" t="s">
        <v>21</v>
      </c>
    </row>
  </sheetData>
  <autoFilter ref="A3:L25"/>
  <mergeCells count="2">
    <mergeCell ref="A1:L1"/>
    <mergeCell ref="A2:L2"/>
  </mergeCells>
  <conditionalFormatting sqref="G4:G25">
    <cfRule type="cellIs" priority="2" operator="equal" aboveAverage="0" equalAverage="0" bottom="0" percent="0" rank="0" text="" dxfId="7">
      <formula>"Vysoké"</formula>
    </cfRule>
    <cfRule type="cellIs" priority="3" operator="equal" aboveAverage="0" equalAverage="0" bottom="0" percent="0" rank="0" text="" dxfId="8">
      <formula>"Střední"</formula>
    </cfRule>
    <cfRule type="cellIs" priority="4" operator="equal" aboveAverage="0" equalAverage="0" bottom="0" percent="0" rank="0" text="" dxfId="9">
      <formula>"Nízké"</formula>
    </cfRule>
  </conditionalFormatting>
  <dataValidations count="1">
    <dataValidation allowBlank="true" errorStyle="stop" operator="between" showDropDown="false" showErrorMessage="false" showInputMessage="false" sqref="D4:E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149</v>
      </c>
    </row>
    <row r="3" customFormat="false" ht="15" hidden="false" customHeight="false" outlineLevel="0" collapsed="false">
      <c r="A3" s="7" t="s">
        <v>150</v>
      </c>
      <c r="B3" s="0" t="n">
        <f aca="false">COUNTIF('Registr rizik'!$G$4:$G$25,"Vysoké")</f>
        <v>0</v>
      </c>
    </row>
    <row r="4" customFormat="false" ht="15" hidden="false" customHeight="false" outlineLevel="0" collapsed="false">
      <c r="A4" s="8" t="s">
        <v>35</v>
      </c>
      <c r="B4" s="0" t="n">
        <f aca="false">COUNTIF('Registr rizik'!$G$4:$G$25,"Střední")</f>
        <v>14</v>
      </c>
    </row>
    <row r="5" customFormat="false" ht="15" hidden="false" customHeight="false" outlineLevel="0" collapsed="false">
      <c r="A5" s="9" t="s">
        <v>21</v>
      </c>
      <c r="B5" s="0" t="n">
        <f aca="false">COUNTIF('Registr rizik'!$G$4:$G$25,"Nízké")</f>
        <v>8</v>
      </c>
    </row>
    <row r="6" customFormat="false" ht="15" hidden="false" customHeight="false" outlineLevel="0" collapsed="false">
      <c r="A6" s="10" t="s">
        <v>151</v>
      </c>
      <c r="B6" s="0" t="n">
        <v>22</v>
      </c>
    </row>
    <row r="8" customFormat="false" ht="15" hidden="false" customHeight="true" outlineLevel="0" collapsed="false">
      <c r="A8" s="11" t="s">
        <v>152</v>
      </c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</sheetData>
  <mergeCells count="1">
    <mergeCell ref="A8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2026-06-20T22:32:11Z</dcterms:created>
  <dc:creator>openpyxl</dc:creator>
  <dc:description/>
  <dc:language>en-US</dc:language>
  <cp:lastModifiedBy/>
  <dcterms:modified xsi:type="dcterms:W3CDTF">2026-06-20T22:32:11Z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