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A register" sheetId="1" state="visible" r:id="rId3"/>
    <sheet name="Souhrn" sheetId="2" state="visible" r:id="rId4"/>
    <sheet name="Punch-list" sheetId="3" state="visible" r:id="rId5"/>
  </sheets>
  <definedNames>
    <definedName function="false" hidden="true" localSheetId="2" name="_xlnm._FilterDatabase" vbProcedure="false">'Punch-list'!$A$1:$F$61</definedName>
    <definedName function="false" hidden="true" localSheetId="0" name="_xlnm._FilterDatabase" vbProcedure="false">'SoA register'!$A$1:$J$94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<sst xmlns="http://schemas.openxmlformats.org/spreadsheetml/2006/main" count="1323" uniqueCount="440">
  <si>
    <t xml:space="preserve">Oblast</t>
  </si>
  <si>
    <t xml:space="preserve">#</t>
  </si>
  <si>
    <t xml:space="preserve">Opatření (Annex A:2022)</t>
  </si>
  <si>
    <t xml:space="preserve">Apl.</t>
  </si>
  <si>
    <t xml:space="preserve">Zdůvodnění (DOC-06)</t>
  </si>
  <si>
    <t xml:space="preserve">Stav</t>
  </si>
  <si>
    <t xml:space="preserve">Důkaz / odkaz</t>
  </si>
  <si>
    <t xml:space="preserve">Vlastník</t>
  </si>
  <si>
    <t xml:space="preserve">Co doplnit (akce)</t>
  </si>
  <si>
    <t xml:space="preserve">Týden</t>
  </si>
  <si>
    <t xml:space="preserve">A.5 Organizační</t>
  </si>
  <si>
    <t xml:space="preserve">A.5.1</t>
  </si>
  <si>
    <t xml:space="preserve">Politiky bezpečnosti informací</t>
  </si>
  <si>
    <t xml:space="preserve">Ano</t>
  </si>
  <si>
    <t xml:space="preserve">Politika IS (DOC-02) + politiky DOC-09..15</t>
  </si>
  <si>
    <t xml:space="preserve">ROZPRACOVÁNO</t>
  </si>
  <si>
    <t xml:space="preserve">DOC-02; DOC-09..15</t>
  </si>
  <si>
    <t xml:space="preserve">Kristý (ISMS)</t>
  </si>
  <si>
    <t xml:space="preserve">Podpis vedení pod politiky</t>
  </si>
  <si>
    <t xml:space="preserve">T3</t>
  </si>
  <si>
    <t xml:space="preserve">A.5.2</t>
  </si>
  <si>
    <t xml:space="preserve">Role a odpovědnosti</t>
  </si>
  <si>
    <t xml:space="preserve">Definováno v DOC-03</t>
  </si>
  <si>
    <t xml:space="preserve">HOTOVO</t>
  </si>
  <si>
    <t xml:space="preserve">DOC-03</t>
  </si>
  <si>
    <t xml:space="preserve">—</t>
  </si>
  <si>
    <t xml:space="preserve">A.5.3</t>
  </si>
  <si>
    <t xml:space="preserve">Oddělení neslučitelných povinností</t>
  </si>
  <si>
    <t xml:space="preserve">Kompenzováno schvalováním se stopou</t>
  </si>
  <si>
    <t xml:space="preserve">3-actor PG path; fw.claude_write_request</t>
  </si>
  <si>
    <t xml:space="preserve">Claude+Marti (tech)</t>
  </si>
  <si>
    <t xml:space="preserve">Formalizovat matici oddělení rolí</t>
  </si>
  <si>
    <t xml:space="preserve">T2</t>
  </si>
  <si>
    <t xml:space="preserve">A.5.4</t>
  </si>
  <si>
    <t xml:space="preserve">Odpovědnosti vedení</t>
  </si>
  <si>
    <t xml:space="preserve">Vedení vyhlašuje politiku a dává zdroje</t>
  </si>
  <si>
    <t xml:space="preserve">DOC-02</t>
  </si>
  <si>
    <t xml:space="preserve">Management review (9.3) provést</t>
  </si>
  <si>
    <t xml:space="preserve">T6</t>
  </si>
  <si>
    <t xml:space="preserve">A.5.5</t>
  </si>
  <si>
    <t xml:space="preserve">Kontakt s úřady</t>
  </si>
  <si>
    <t xml:space="preserve">Kontakty ÚOOÚ/NÚKIB/Policie/datovky</t>
  </si>
  <si>
    <t xml:space="preserve">ZBÝVÁ</t>
  </si>
  <si>
    <t xml:space="preserve">Doplnit seznam kontaktů</t>
  </si>
  <si>
    <t xml:space="preserve">T1</t>
  </si>
  <si>
    <t xml:space="preserve">A.5.6</t>
  </si>
  <si>
    <t xml:space="preserve">Kontakt se zájmovými skupinami</t>
  </si>
  <si>
    <t xml:space="preserve">Sledování zdrojů o bezpečnosti</t>
  </si>
  <si>
    <t xml:space="preserve">PROCES-ISMS</t>
  </si>
  <si>
    <t xml:space="preserve">Doplnit zdroje</t>
  </si>
  <si>
    <t xml:space="preserve">T4</t>
  </si>
  <si>
    <t xml:space="preserve">A.5.7</t>
  </si>
  <si>
    <t xml:space="preserve">Zpravodajství o hrozbách</t>
  </si>
  <si>
    <t xml:space="preserve">Sledování zranitelností a hrozeb</t>
  </si>
  <si>
    <t xml:space="preserve">scanner filtr v middleware</t>
  </si>
  <si>
    <t xml:space="preserve">Rozšířit sledování hrozeb</t>
  </si>
  <si>
    <t xml:space="preserve">A.5.8</t>
  </si>
  <si>
    <t xml:space="preserve">Bezpečnost v projektovém řízení</t>
  </si>
  <si>
    <t xml:space="preserve">Security by design (DOC-14)</t>
  </si>
  <si>
    <t xml:space="preserve">informed-consent design proces</t>
  </si>
  <si>
    <t xml:space="preserve">A.5.9</t>
  </si>
  <si>
    <t xml:space="preserve">Evidence aktiv</t>
  </si>
  <si>
    <t xml:space="preserve">Evidence a klasifikace (DOC-15)</t>
  </si>
  <si>
    <t xml:space="preserve">DOC-15 + tenant.mig_item (654 obj.)</t>
  </si>
  <si>
    <t xml:space="preserve">Finalizovat inventář + data-flow</t>
  </si>
  <si>
    <t xml:space="preserve">A.5.10</t>
  </si>
  <si>
    <t xml:space="preserve">Akceptovatelné použití aktiv</t>
  </si>
  <si>
    <t xml:space="preserve">Pravidla (DOC-13)</t>
  </si>
  <si>
    <t xml:space="preserve">DOC-13</t>
  </si>
  <si>
    <t xml:space="preserve">Podpis</t>
  </si>
  <si>
    <t xml:space="preserve">A.5.11</t>
  </si>
  <si>
    <t xml:space="preserve">Vrácení aktiv</t>
  </si>
  <si>
    <t xml:space="preserve">Proces offboardingu (DOC-13)</t>
  </si>
  <si>
    <t xml:space="preserve">EUROSOFT-INFRA</t>
  </si>
  <si>
    <t xml:space="preserve">EUROSOFT HR</t>
  </si>
  <si>
    <t xml:space="preserve">Navázat HR proces</t>
  </si>
  <si>
    <t xml:space="preserve">A.5.12</t>
  </si>
  <si>
    <t xml:space="preserve">Klasifikace informací</t>
  </si>
  <si>
    <t xml:space="preserve">Klasifikační schéma (DOC-15)</t>
  </si>
  <si>
    <t xml:space="preserve">privacy tiers (vault/self/HR/confidential)</t>
  </si>
  <si>
    <t xml:space="preserve">Sepsat klasifikační politiku</t>
  </si>
  <si>
    <t xml:space="preserve">A.5.13</t>
  </si>
  <si>
    <t xml:space="preserve">Označování informací</t>
  </si>
  <si>
    <t xml:space="preserve">Dokumenty nesou klasifikaci</t>
  </si>
  <si>
    <t xml:space="preserve">klasifikace 'Interní' na docs</t>
  </si>
  <si>
    <t xml:space="preserve">Navázat na 5.12</t>
  </si>
  <si>
    <t xml:space="preserve">A.5.14</t>
  </si>
  <si>
    <t xml:space="preserve">Přenos informací</t>
  </si>
  <si>
    <t xml:space="preserve">Šifrovaný přenos (HTTPS/TLS)</t>
  </si>
  <si>
    <t xml:space="preserve">HTTPS; MCP šifr. kanál; single SIM; ISDS</t>
  </si>
  <si>
    <t xml:space="preserve">A.5.15</t>
  </si>
  <si>
    <t xml:space="preserve">Řízení přístupu</t>
  </si>
  <si>
    <t xml:space="preserve">Role a ACL, nejnižší oprávnění (DOC-09)</t>
  </si>
  <si>
    <t xml:space="preserve">RBAC role; tenant.dir_access_log</t>
  </si>
  <si>
    <t xml:space="preserve">A.5.16</t>
  </si>
  <si>
    <t xml:space="preserve">Správa identit</t>
  </si>
  <si>
    <t xml:space="preserve">Jednoznačné identity, životní cyklus</t>
  </si>
  <si>
    <t xml:space="preserve">users/persona/login_name</t>
  </si>
  <si>
    <t xml:space="preserve">A.5.17</t>
  </si>
  <si>
    <t xml:space="preserve">Autentizační informace</t>
  </si>
  <si>
    <t xml:space="preserve">MFA (magic-link/SMS) + šifr. trezor</t>
  </si>
  <si>
    <t xml:space="preserve">vault Fernet; fw.phone_verify; fw.user_pin; AppEnvironmentExtra</t>
  </si>
  <si>
    <t xml:space="preserve">Politika rotace tajemství</t>
  </si>
  <si>
    <t xml:space="preserve">A.5.18</t>
  </si>
  <si>
    <t xml:space="preserve">Přístupová práva</t>
  </si>
  <si>
    <t xml:space="preserve">Přidělování/odebírání, přezkum (DOC-09)</t>
  </si>
  <si>
    <t xml:space="preserve">role model; fw.impersonation_log</t>
  </si>
  <si>
    <t xml:space="preserve">Proces čtvrtletního access review</t>
  </si>
  <si>
    <t xml:space="preserve">A.5.19</t>
  </si>
  <si>
    <t xml:space="preserve">Bezpečnost ve vztazích s dodavateli</t>
  </si>
  <si>
    <t xml:space="preserve">Politika dodavatelů (DOC-12)</t>
  </si>
  <si>
    <t xml:space="preserve">DOC-12</t>
  </si>
  <si>
    <t xml:space="preserve">Seznam sub-processorů</t>
  </si>
  <si>
    <t xml:space="preserve">A.5.20</t>
  </si>
  <si>
    <t xml:space="preserve">Bezpečnost ve smlouvách s dodavateli</t>
  </si>
  <si>
    <t xml:space="preserve">Bezpečnostní požadavky ve smlouvách</t>
  </si>
  <si>
    <t xml:space="preserve">DPA (Anthropic, OpenAI/Voyage, Vodafone/T-Mobile, Raiffeisen, ČMIS)</t>
  </si>
  <si>
    <t xml:space="preserve">A.5.21</t>
  </si>
  <si>
    <t xml:space="preserve">Bezpečnost v dodavatelském řetězci ICT</t>
  </si>
  <si>
    <t xml:space="preserve">Posouzení klíčových služeb (DOC-12)</t>
  </si>
  <si>
    <t xml:space="preserve">poetry/npm závislosti</t>
  </si>
  <si>
    <t xml:space="preserve">Soupis závislostí</t>
  </si>
  <si>
    <t xml:space="preserve">A.5.22</t>
  </si>
  <si>
    <t xml:space="preserve">Monitorování a změny služeb dodavatelů</t>
  </si>
  <si>
    <t xml:space="preserve">Sledování služeb a změn (DOC-12)</t>
  </si>
  <si>
    <t xml:space="preserve">Cadence revize dodavatelů</t>
  </si>
  <si>
    <t xml:space="preserve">A.5.23</t>
  </si>
  <si>
    <t xml:space="preserve">Bezpečnost při využití cloudu</t>
  </si>
  <si>
    <t xml:space="preserve">Cloud ČMIS (Praha, ČR)</t>
  </si>
  <si>
    <t xml:space="preserve">cloud APP/SQL + HTTPS</t>
  </si>
  <si>
    <t xml:space="preserve">Zdokumentovat cloud opatření</t>
  </si>
  <si>
    <t xml:space="preserve">A.5.24</t>
  </si>
  <si>
    <t xml:space="preserve">Plánování řízení incidentů</t>
  </si>
  <si>
    <t xml:space="preserve">Postup (DOC-10)</t>
  </si>
  <si>
    <t xml:space="preserve">DOC-10</t>
  </si>
  <si>
    <t xml:space="preserve">Runbook + role</t>
  </si>
  <si>
    <t xml:space="preserve">A.5.25</t>
  </si>
  <si>
    <t xml:space="preserve">Posouzení a rozhodnutí o událostech</t>
  </si>
  <si>
    <t xml:space="preserve">Klasifikace událostí (DOC-10)</t>
  </si>
  <si>
    <t xml:space="preserve">diag_log + anomaly scan</t>
  </si>
  <si>
    <t xml:space="preserve">Triage proces</t>
  </si>
  <si>
    <t xml:space="preserve">A.5.26</t>
  </si>
  <si>
    <t xml:space="preserve">Reakce na incidenty</t>
  </si>
  <si>
    <t xml:space="preserve">Definovaný postup (DOC-10)</t>
  </si>
  <si>
    <t xml:space="preserve">Nacvičit 1 cvičný incident</t>
  </si>
  <si>
    <t xml:space="preserve">T5</t>
  </si>
  <si>
    <t xml:space="preserve">A.5.27</t>
  </si>
  <si>
    <t xml:space="preserve">Poučení z incidentů</t>
  </si>
  <si>
    <t xml:space="preserve">Záznam a poučení (DOC-10, DOC-18)</t>
  </si>
  <si>
    <t xml:space="preserve">gotchas KB + dodatky CLAUDE.md</t>
  </si>
  <si>
    <t xml:space="preserve">A.5.28</t>
  </si>
  <si>
    <t xml:space="preserve">Sběr důkazů</t>
  </si>
  <si>
    <t xml:space="preserve">Neměnný audit log pro forenzní účely</t>
  </si>
  <si>
    <t xml:space="preserve">22 audit tabulek (fw.*/tenant.*)</t>
  </si>
  <si>
    <t xml:space="preserve">A.5.29</t>
  </si>
  <si>
    <t xml:space="preserve">Bezpečnost během narušení</t>
  </si>
  <si>
    <t xml:space="preserve">Plán kontinuity (DOC-11)</t>
  </si>
  <si>
    <t xml:space="preserve">blue-green + fallback (otestováno)</t>
  </si>
  <si>
    <t xml:space="preserve">DR doklad</t>
  </si>
  <si>
    <t xml:space="preserve">A.5.30</t>
  </si>
  <si>
    <t xml:space="preserve">Připravenost ICT na kontinuitu</t>
  </si>
  <si>
    <t xml:space="preserve">Zálohy + vysoká dostupnost (DOC-11)</t>
  </si>
  <si>
    <t xml:space="preserve">blue-green</t>
  </si>
  <si>
    <t xml:space="preserve">RTO/RPO + záznam failover testu</t>
  </si>
  <si>
    <t xml:space="preserve">A.5.31</t>
  </si>
  <si>
    <t xml:space="preserve">Právní a smluvní požadavky</t>
  </si>
  <si>
    <t xml:space="preserve">Evidence požadavků (GDPR, ZP)</t>
  </si>
  <si>
    <t xml:space="preserve">Přehled požadavků</t>
  </si>
  <si>
    <t xml:space="preserve">A.5.32</t>
  </si>
  <si>
    <t xml:space="preserve">Práva duševního vlastnictví</t>
  </si>
  <si>
    <t xml:space="preserve">Licence ke kódu a knihovnám</t>
  </si>
  <si>
    <t xml:space="preserve">Evidence licencí</t>
  </si>
  <si>
    <t xml:space="preserve">A.5.33</t>
  </si>
  <si>
    <t xml:space="preserve">Ochrana záznamů</t>
  </si>
  <si>
    <t xml:space="preserve">Ochrana a retence záznamů</t>
  </si>
  <si>
    <t xml:space="preserve">append-only audit log</t>
  </si>
  <si>
    <t xml:space="preserve">(volit.) hash-chain + politika retence</t>
  </si>
  <si>
    <t xml:space="preserve">A.5.34</t>
  </si>
  <si>
    <t xml:space="preserve">Soukromí a ochrana osobních údajů</t>
  </si>
  <si>
    <t xml:space="preserve">Soulad s GDPR</t>
  </si>
  <si>
    <t xml:space="preserve">consent model; tiers; access logy</t>
  </si>
  <si>
    <t xml:space="preserve">DPIA</t>
  </si>
  <si>
    <t xml:space="preserve">A.5.35</t>
  </si>
  <si>
    <t xml:space="preserve">Nezávislé přezkoumání bezpečnosti</t>
  </si>
  <si>
    <t xml:space="preserve">Interní audit (DOC-16) + certifikace</t>
  </si>
  <si>
    <t xml:space="preserve">DOC-16 program</t>
  </si>
  <si>
    <t xml:space="preserve">Provést interní audit</t>
  </si>
  <si>
    <t xml:space="preserve">A.5.36</t>
  </si>
  <si>
    <t xml:space="preserve">Soulad s politikami a normami</t>
  </si>
  <si>
    <t xml:space="preserve">Kontrola dodržování (DOC-16)</t>
  </si>
  <si>
    <t xml:space="preserve">Ověří interní audit</t>
  </si>
  <si>
    <t xml:space="preserve">A.5.37</t>
  </si>
  <si>
    <t xml:space="preserve">Dokumentované provozní postupy</t>
  </si>
  <si>
    <t xml:space="preserve">Provozní postupy (deploy, zálohy, ops)</t>
  </si>
  <si>
    <t xml:space="preserve">CLAUDE.md + docs + deploy postupy</t>
  </si>
  <si>
    <t xml:space="preserve">A.6 Lidé</t>
  </si>
  <si>
    <t xml:space="preserve">A.6.1</t>
  </si>
  <si>
    <t xml:space="preserve">Prověřování (screening)</t>
  </si>
  <si>
    <t xml:space="preserve">Ověření při nástupu</t>
  </si>
  <si>
    <t xml:space="preserve">Popsat proces screeningu</t>
  </si>
  <si>
    <t xml:space="preserve">A.6.2</t>
  </si>
  <si>
    <t xml:space="preserve">Podmínky pracovního poměru</t>
  </si>
  <si>
    <t xml:space="preserve">Bezpečnostní povinnosti ve smlouvách</t>
  </si>
  <si>
    <t xml:space="preserve">A.6.3</t>
  </si>
  <si>
    <t xml:space="preserve">Povědomí, vzdělávání a školení</t>
  </si>
  <si>
    <t xml:space="preserve">Pravidelné poučení (cíl v DOC-08)</t>
  </si>
  <si>
    <t xml:space="preserve">Školení týmu + záznam (7.2)</t>
  </si>
  <si>
    <t xml:space="preserve">A.6.4</t>
  </si>
  <si>
    <t xml:space="preserve">Disciplinární proces</t>
  </si>
  <si>
    <t xml:space="preserve">Postih dle DOC-02 a ZP</t>
  </si>
  <si>
    <t xml:space="preserve">A.6.5</t>
  </si>
  <si>
    <t xml:space="preserve">Odpovědnosti po ukončení</t>
  </si>
  <si>
    <t xml:space="preserve">Offboarding, mlčenlivost (DOC-13)</t>
  </si>
  <si>
    <t xml:space="preserve">disable/archived + samoopravný roster</t>
  </si>
  <si>
    <t xml:space="preserve">A.6.6</t>
  </si>
  <si>
    <t xml:space="preserve">Dohody o mlčenlivosti (NDA)</t>
  </si>
  <si>
    <t xml:space="preserve">NDA EUROSOFT + vlastní NDA STRATEGIE</t>
  </si>
  <si>
    <t xml:space="preserve">NDA vzor (Zbyněk)</t>
  </si>
  <si>
    <t xml:space="preserve">Dokončit vlastní NDA STRATEGIE</t>
  </si>
  <si>
    <t xml:space="preserve">A.6.7</t>
  </si>
  <si>
    <t xml:space="preserve">Práce na dálku</t>
  </si>
  <si>
    <t xml:space="preserve">Pravidla HO a vzdál. přístupu (DOC-13)</t>
  </si>
  <si>
    <t xml:space="preserve">Phase 38, VPN, trusted devices</t>
  </si>
  <si>
    <t xml:space="preserve">A.6.8</t>
  </si>
  <si>
    <t xml:space="preserve">Hlášení bezpečnostních událostí</t>
  </si>
  <si>
    <t xml:space="preserve">Každý hlásí bez obav (DOC-10)</t>
  </si>
  <si>
    <t xml:space="preserve">diag_log popup alert</t>
  </si>
  <si>
    <t xml:space="preserve">Formalizovat hlášení</t>
  </si>
  <si>
    <t xml:space="preserve">A.7 Fyzická</t>
  </si>
  <si>
    <t xml:space="preserve">A.7.1</t>
  </si>
  <si>
    <t xml:space="preserve">Fyzické bezpečnostní perimetry</t>
  </si>
  <si>
    <t xml:space="preserve">Kancelář + servery v DC ČMIS</t>
  </si>
  <si>
    <t xml:space="preserve">EUROSOFT infra</t>
  </si>
  <si>
    <t xml:space="preserve">Attestace fyzické bezpečnosti</t>
  </si>
  <si>
    <t xml:space="preserve">A.7.2</t>
  </si>
  <si>
    <t xml:space="preserve">Fyzický vstup</t>
  </si>
  <si>
    <t xml:space="preserve">Řízený vstup; DC poskytovatele</t>
  </si>
  <si>
    <t xml:space="preserve">Attestace</t>
  </si>
  <si>
    <t xml:space="preserve">A.7.3</t>
  </si>
  <si>
    <t xml:space="preserve">Zabezpečení kanceláří a prostor</t>
  </si>
  <si>
    <t xml:space="preserve">Zamykání, zabezpečení pracoviště</t>
  </si>
  <si>
    <t xml:space="preserve">Popis zabezpečení kanceláří</t>
  </si>
  <si>
    <t xml:space="preserve">A.7.4</t>
  </si>
  <si>
    <t xml:space="preserve">Fyzické monitorování</t>
  </si>
  <si>
    <t xml:space="preserve">Zajišťuje DC ČMIS</t>
  </si>
  <si>
    <t xml:space="preserve">Attestace DC</t>
  </si>
  <si>
    <t xml:space="preserve">A.7.5</t>
  </si>
  <si>
    <t xml:space="preserve">Ochrana před fyzickými hrozbami</t>
  </si>
  <si>
    <t xml:space="preserve">DC (požár, napájení)</t>
  </si>
  <si>
    <t xml:space="preserve">A.7.6</t>
  </si>
  <si>
    <t xml:space="preserve">Práce v zabezpečených oblastech</t>
  </si>
  <si>
    <t xml:space="preserve">Relevantní pro DC</t>
  </si>
  <si>
    <t xml:space="preserve">A.7.7</t>
  </si>
  <si>
    <t xml:space="preserve">Čistý stůl a obrazovka</t>
  </si>
  <si>
    <t xml:space="preserve">Pravidlo čistého stolu (DOC-13)</t>
  </si>
  <si>
    <t xml:space="preserve">Politika čistého stolu</t>
  </si>
  <si>
    <t xml:space="preserve">A.7.8</t>
  </si>
  <si>
    <t xml:space="preserve">Umístění a ochrana zařízení</t>
  </si>
  <si>
    <t xml:space="preserve">Stanice chráněny; servery v DC</t>
  </si>
  <si>
    <t xml:space="preserve">A.7.9</t>
  </si>
  <si>
    <t xml:space="preserve">Bezpečnost aktiv mimo prostory</t>
  </si>
  <si>
    <t xml:space="preserve">Na stanicích nejsou zák. data; ESET</t>
  </si>
  <si>
    <t xml:space="preserve">ESET</t>
  </si>
  <si>
    <t xml:space="preserve">Šifrování disku stanic</t>
  </si>
  <si>
    <t xml:space="preserve">A.7.10</t>
  </si>
  <si>
    <t xml:space="preserve">Nosiče dat</t>
  </si>
  <si>
    <t xml:space="preserve">Řízení a bezpečná likvidace</t>
  </si>
  <si>
    <t xml:space="preserve">Řízení + bezpečná likvidace médií</t>
  </si>
  <si>
    <t xml:space="preserve">A.7.11</t>
  </si>
  <si>
    <t xml:space="preserve">Podpůrné technické vybavení</t>
  </si>
  <si>
    <t xml:space="preserve">Napájení/chlazení DC ČMIS</t>
  </si>
  <si>
    <t xml:space="preserve">A.7.12</t>
  </si>
  <si>
    <t xml:space="preserve">Bezpečnost kabeláže</t>
  </si>
  <si>
    <t xml:space="preserve">V kompetenci DC</t>
  </si>
  <si>
    <t xml:space="preserve">A.7.13</t>
  </si>
  <si>
    <t xml:space="preserve">Údržba zařízení</t>
  </si>
  <si>
    <t xml:space="preserve">Údržba stanic a serverů</t>
  </si>
  <si>
    <t xml:space="preserve">A.7.14</t>
  </si>
  <si>
    <t xml:space="preserve">Bezpečná likvidace / opětovné použití</t>
  </si>
  <si>
    <t xml:space="preserve">Vymazání dat před vyřazením</t>
  </si>
  <si>
    <t xml:space="preserve">Postup vymazání před vyřazením</t>
  </si>
  <si>
    <t xml:space="preserve">A.8 Technologická</t>
  </si>
  <si>
    <t xml:space="preserve">A.8.1</t>
  </si>
  <si>
    <t xml:space="preserve">Koncová zařízení uživatelů</t>
  </si>
  <si>
    <t xml:space="preserve">ESET; na stanicích nejsou zák. data</t>
  </si>
  <si>
    <t xml:space="preserve">trusted devices; ESET</t>
  </si>
  <si>
    <t xml:space="preserve">Šifrování disku + endpoint politika</t>
  </si>
  <si>
    <t xml:space="preserve">A.8.2</t>
  </si>
  <si>
    <t xml:space="preserve">Privilegovaná přístupová práva</t>
  </si>
  <si>
    <t xml:space="preserve">Oddělené role, nejnižší oprávnění</t>
  </si>
  <si>
    <t xml:space="preserve">3-actor PG; ops whitelist; approval banner; fw.impersonation_log</t>
  </si>
  <si>
    <t xml:space="preserve">Least-privilege review</t>
  </si>
  <si>
    <t xml:space="preserve">A.8.3</t>
  </si>
  <si>
    <t xml:space="preserve">Omezení přístupu k informacím</t>
  </si>
  <si>
    <t xml:space="preserve">Tenant a role omezují přístup (ACL)</t>
  </si>
  <si>
    <t xml:space="preserve">persona scope ACL; access logy</t>
  </si>
  <si>
    <t xml:space="preserve">A.8.4</t>
  </si>
  <si>
    <t xml:space="preserve">Přístup ke zdrojovému kódu</t>
  </si>
  <si>
    <t xml:space="preserve">Git s řízeným přístupem (PAT)</t>
  </si>
  <si>
    <t xml:space="preserve">privátní git; PAT; per-instance author</t>
  </si>
  <si>
    <t xml:space="preserve">Formalizovat přístupy</t>
  </si>
  <si>
    <t xml:space="preserve">A.8.5</t>
  </si>
  <si>
    <t xml:space="preserve">Bezpečná autentizace</t>
  </si>
  <si>
    <t xml:space="preserve">MFA (magic-link / SMS)</t>
  </si>
  <si>
    <t xml:space="preserve">Phase 38 + PIN/SMS 2FA</t>
  </si>
  <si>
    <t xml:space="preserve">A.8.6</t>
  </si>
  <si>
    <t xml:space="preserve">Řízení kapacity</t>
  </si>
  <si>
    <t xml:space="preserve">Sledování kapacity serverů a DB</t>
  </si>
  <si>
    <t xml:space="preserve">cost dashboard; llm_calls</t>
  </si>
  <si>
    <t xml:space="preserve">A.8.7</t>
  </si>
  <si>
    <t xml:space="preserve">Ochrana před malwarem</t>
  </si>
  <si>
    <t xml:space="preserve">Antivir ESET (EUROSOFT-System)</t>
  </si>
  <si>
    <t xml:space="preserve">A.8.8</t>
  </si>
  <si>
    <t xml:space="preserve">Správa technických zranitelností</t>
  </si>
  <si>
    <t xml:space="preserve">Aktualizace OS a knihoven</t>
  </si>
  <si>
    <t xml:space="preserve">Dependency CVE scan + patch cadence</t>
  </si>
  <si>
    <t xml:space="preserve">A.8.9</t>
  </si>
  <si>
    <t xml:space="preserve">Správa konfigurací</t>
  </si>
  <si>
    <t xml:space="preserve">Konfigurace verzována; deploy se stopou</t>
  </si>
  <si>
    <t xml:space="preserve">git single source; API versioning</t>
  </si>
  <si>
    <t xml:space="preserve">A.8.10</t>
  </si>
  <si>
    <t xml:space="preserve">Mazání informací</t>
  </si>
  <si>
    <t xml:space="preserve">Soft delete + řízené mazání dle retence</t>
  </si>
  <si>
    <t xml:space="preserve">request_forget; anonymizace</t>
  </si>
  <si>
    <t xml:space="preserve">Retenční politika</t>
  </si>
  <si>
    <t xml:space="preserve">A.8.11</t>
  </si>
  <si>
    <t xml:space="preserve">Maskování dat</t>
  </si>
  <si>
    <t xml:space="preserve">Citlivá pole v UI jako '[omezeno]'</t>
  </si>
  <si>
    <t xml:space="preserve">UPN maskování; [omezeno]</t>
  </si>
  <si>
    <t xml:space="preserve">A.8.12</t>
  </si>
  <si>
    <t xml:space="preserve">Prevence úniku dat</t>
  </si>
  <si>
    <t xml:space="preserve">Řízené kanály, šifrování</t>
  </si>
  <si>
    <t xml:space="preserve">secrets nikdy v logu; persona izolace</t>
  </si>
  <si>
    <t xml:space="preserve">Doplnit DLP opatření</t>
  </si>
  <si>
    <t xml:space="preserve">A.8.13</t>
  </si>
  <si>
    <t xml:space="preserve">Zálohování informací</t>
  </si>
  <si>
    <t xml:space="preserve">Denní zálohy (03:00); offsite v zavádění</t>
  </si>
  <si>
    <t xml:space="preserve">denní zálohy ČMIS</t>
  </si>
  <si>
    <t xml:space="preserve">Restore drill + zápis</t>
  </si>
  <si>
    <t xml:space="preserve">A.8.14</t>
  </si>
  <si>
    <t xml:space="preserve">Redundance zpracování</t>
  </si>
  <si>
    <t xml:space="preserve">Vysoká dostupnost (blue-green)</t>
  </si>
  <si>
    <t xml:space="preserve">blue-green + cloud mirror (otestováno)</t>
  </si>
  <si>
    <t xml:space="preserve">A.8.15</t>
  </si>
  <si>
    <t xml:space="preserve">Protokolování (logging)</t>
  </si>
  <si>
    <t xml:space="preserve">Neměnný append-only audit log</t>
  </si>
  <si>
    <t xml:space="preserve">fw.diag_log</t>
  </si>
  <si>
    <t xml:space="preserve">A.8.16</t>
  </si>
  <si>
    <t xml:space="preserve">Monitorování činností</t>
  </si>
  <si>
    <t xml:space="preserve">Sledování provozu a událostí</t>
  </si>
  <si>
    <t xml:space="preserve">anomaly scan; diag_log</t>
  </si>
  <si>
    <t xml:space="preserve">Alerting na bezp. události</t>
  </si>
  <si>
    <t xml:space="preserve">A.8.17</t>
  </si>
  <si>
    <t xml:space="preserve">Synchronizace času</t>
  </si>
  <si>
    <t xml:space="preserve">Synchronizace času serverů (NTP)</t>
  </si>
  <si>
    <t xml:space="preserve">NTP + Europe/Prague</t>
  </si>
  <si>
    <t xml:space="preserve">A.8.18</t>
  </si>
  <si>
    <t xml:space="preserve">Privilegované systémové nástroje</t>
  </si>
  <si>
    <t xml:space="preserve">Omezené a auditované ops (whitelist)</t>
  </si>
  <si>
    <t xml:space="preserve">ops framework; bridge; fw.ops_request</t>
  </si>
  <si>
    <t xml:space="preserve">A.8.19</t>
  </si>
  <si>
    <t xml:space="preserve">Instalace softwaru na provozní systémy</t>
  </si>
  <si>
    <t xml:space="preserve">Řízený deploy přes schválený proces</t>
  </si>
  <si>
    <t xml:space="preserve">AUTO-DEPLOY + py_compile gate + advisory lock</t>
  </si>
  <si>
    <t xml:space="preserve">A.8.20</t>
  </si>
  <si>
    <t xml:space="preserve">Bezpečnost sítí</t>
  </si>
  <si>
    <t xml:space="preserve">TLS, oddělení produkce, reverzní proxy</t>
  </si>
  <si>
    <t xml:space="preserve">Mikrotik whitelist; Caddy; HTTPS</t>
  </si>
  <si>
    <t xml:space="preserve">A.8.21</t>
  </si>
  <si>
    <t xml:space="preserve">Bezpečnost síťových služeb</t>
  </si>
  <si>
    <t xml:space="preserve">Zabezpečené služby a rozhraní</t>
  </si>
  <si>
    <t xml:space="preserve">IP whitelist; single SIM</t>
  </si>
  <si>
    <t xml:space="preserve">A.8.22</t>
  </si>
  <si>
    <t xml:space="preserve">Segregace sítí</t>
  </si>
  <si>
    <t xml:space="preserve">Oddělení produkce a interního prostředí</t>
  </si>
  <si>
    <t xml:space="preserve">on-prem↔cloud přes whitelist IP</t>
  </si>
  <si>
    <t xml:space="preserve">A.8.23</t>
  </si>
  <si>
    <t xml:space="preserve">Filtrování webu</t>
  </si>
  <si>
    <t xml:space="preserve">Omezeně; rozsah koncových stanic</t>
  </si>
  <si>
    <t xml:space="preserve">scanner filtr</t>
  </si>
  <si>
    <t xml:space="preserve">Doplnit rozsah koncových stanic</t>
  </si>
  <si>
    <t xml:space="preserve">A.8.24</t>
  </si>
  <si>
    <t xml:space="preserve">Použití kryptografie</t>
  </si>
  <si>
    <t xml:space="preserve">Šifrování přenosu (TLS) i tajemství</t>
  </si>
  <si>
    <t xml:space="preserve">HTTPS + Fernet vault</t>
  </si>
  <si>
    <t xml:space="preserve">DB at-rest/TDE (volit.)</t>
  </si>
  <si>
    <t xml:space="preserve">A.8.25</t>
  </si>
  <si>
    <t xml:space="preserve">Bezpečný životní cyklus vývoje</t>
  </si>
  <si>
    <t xml:space="preserve">Bezpečný vývoj (DOC-14)</t>
  </si>
  <si>
    <t xml:space="preserve">git; blue-green; py_compile gate</t>
  </si>
  <si>
    <t xml:space="preserve">A.8.26</t>
  </si>
  <si>
    <t xml:space="preserve">Bezpečnostní požadavky aplikací</t>
  </si>
  <si>
    <t xml:space="preserve">Bezpečnost součástí požadavků</t>
  </si>
  <si>
    <t xml:space="preserve">defense-in-depth doctrine</t>
  </si>
  <si>
    <t xml:space="preserve">Formalizovat</t>
  </si>
  <si>
    <t xml:space="preserve">A.8.27</t>
  </si>
  <si>
    <t xml:space="preserve">Bezpečná architektura a principy</t>
  </si>
  <si>
    <t xml:space="preserve">Security by design, vícevrstvá ochrana</t>
  </si>
  <si>
    <t xml:space="preserve">vrstvený kontext; defense in depth</t>
  </si>
  <si>
    <t xml:space="preserve">A.8.28</t>
  </si>
  <si>
    <t xml:space="preserve">Bezpečné kódování</t>
  </si>
  <si>
    <t xml:space="preserve">Zásady bezpečného kódování (DOC-14)</t>
  </si>
  <si>
    <t xml:space="preserve">gotchas KB; Claude review</t>
  </si>
  <si>
    <t xml:space="preserve">A.8.29</t>
  </si>
  <si>
    <t xml:space="preserve">Bezpečnostní testování</t>
  </si>
  <si>
    <t xml:space="preserve">Testování před nasazením</t>
  </si>
  <si>
    <t xml:space="preserve">smoke testy</t>
  </si>
  <si>
    <t xml:space="preserve">Externí pentest (po readiness)</t>
  </si>
  <si>
    <t xml:space="preserve">T7</t>
  </si>
  <si>
    <t xml:space="preserve">A.8.30</t>
  </si>
  <si>
    <t xml:space="preserve">Vývoj zajišťovaný externě</t>
  </si>
  <si>
    <t xml:space="preserve">Ne</t>
  </si>
  <si>
    <t xml:space="preserve">Vývoj probíhá interně; bez outsourcingu</t>
  </si>
  <si>
    <t xml:space="preserve">NEAPLIKOVATELNÉ</t>
  </si>
  <si>
    <t xml:space="preserve">A.8.31</t>
  </si>
  <si>
    <t xml:space="preserve">Oddělení vývoje, testu a produkce</t>
  </si>
  <si>
    <t xml:space="preserve">Oddělená produkce a test</t>
  </si>
  <si>
    <t xml:space="preserve">NB dev / cloud prod / blue-green / test DB</t>
  </si>
  <si>
    <t xml:space="preserve">A.8.32</t>
  </si>
  <si>
    <t xml:space="preserve">Řízení změn</t>
  </si>
  <si>
    <t xml:space="preserve">Schvalovací proces změn se stopou</t>
  </si>
  <si>
    <t xml:space="preserve">git + versioning + blue-green + fallback</t>
  </si>
  <si>
    <t xml:space="preserve">A.8.33</t>
  </si>
  <si>
    <t xml:space="preserve">Testovací informace</t>
  </si>
  <si>
    <t xml:space="preserve">Demo data oddělena (demo tenant)</t>
  </si>
  <si>
    <t xml:space="preserve">demo tenant; bez reálných osob</t>
  </si>
  <si>
    <t xml:space="preserve">A.8.34</t>
  </si>
  <si>
    <t xml:space="preserve">Ochrana systémů při auditu</t>
  </si>
  <si>
    <t xml:space="preserve">Auditní činnosti řízeny</t>
  </si>
  <si>
    <t xml:space="preserve">fw.claude_sql_log; read-only guard</t>
  </si>
  <si>
    <t xml:space="preserve">Prohlášení o aplikovatelnosti (SoA) — souhrn</t>
  </si>
  <si>
    <t xml:space="preserve">Počet</t>
  </si>
  <si>
    <t xml:space="preserve">CELKEM</t>
  </si>
  <si>
    <t xml:space="preserve">Aplikovatelná opatření</t>
  </si>
  <si>
    <t xml:space="preserve">Ne (s odůvodněním)</t>
  </si>
  <si>
    <t xml:space="preserve">Otevřené akce (punch-list)</t>
  </si>
  <si>
    <t xml:space="preserve">Počet opatření s akcí</t>
  </si>
  <si>
    <t xml:space="preserve">Hotovo nebo rozpracováno (z 93)</t>
  </si>
  <si>
    <t xml:space="preserve">Pozn.: čísla se přepočítají při změně listu 'SoA register' (COUNTIF). Stav: HOTOVO=doloženo, ROZPRACOVÁNO=jádro máme+dotáhnout, ZBÝVÁ=udělat, PROCES-ISMS=Kristý, EUROSOFT-INFRA=infra/HR.</t>
  </si>
  <si>
    <t xml:space="preserve">Opatření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</si>
</sst>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1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EB9C"/>
        <bgColor rgb="FFE2E2E2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E2E2E2"/>
      </patternFill>
    </fill>
    <fill>
      <patternFill patternType="solid">
        <fgColor rgb="FFDDEBF7"/>
        <bgColor rgb="FFE2E2E2"/>
      </patternFill>
    </fill>
    <fill>
      <patternFill patternType="solid">
        <fgColor rgb="FFE2E2E2"/>
        <bgColor rgb="FFDDEBF7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20"/>
    <col collapsed="false" customWidth="true" hidden="false" outlineLevel="0" max="9" min="9" style="0" width="40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2" t="s">
        <v>12</v>
      </c>
      <c r="D2" s="3" t="s">
        <v>13</v>
      </c>
      <c r="E2" s="2" t="s">
        <v>14</v>
      </c>
      <c r="F2" s="4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customFormat="false" ht="15" hidden="false" customHeight="false" outlineLevel="0" collapsed="false">
      <c r="A3" s="2" t="s">
        <v>10</v>
      </c>
      <c r="B3" s="3" t="s">
        <v>20</v>
      </c>
      <c r="C3" s="2" t="s">
        <v>21</v>
      </c>
      <c r="D3" s="3" t="s">
        <v>13</v>
      </c>
      <c r="E3" s="2" t="s">
        <v>22</v>
      </c>
      <c r="F3" s="5" t="s">
        <v>23</v>
      </c>
      <c r="G3" s="2" t="s">
        <v>24</v>
      </c>
      <c r="H3" s="2" t="s">
        <v>17</v>
      </c>
      <c r="I3" s="2" t="s">
        <v>25</v>
      </c>
      <c r="J3" s="3" t="s">
        <v>25</v>
      </c>
    </row>
    <row r="4" customFormat="false" ht="15" hidden="false" customHeight="false" outlineLevel="0" collapsed="false">
      <c r="A4" s="2" t="s">
        <v>10</v>
      </c>
      <c r="B4" s="3" t="s">
        <v>26</v>
      </c>
      <c r="C4" s="2" t="s">
        <v>27</v>
      </c>
      <c r="D4" s="3" t="s">
        <v>13</v>
      </c>
      <c r="E4" s="2" t="s">
        <v>28</v>
      </c>
      <c r="F4" s="4" t="s">
        <v>15</v>
      </c>
      <c r="G4" s="2" t="s">
        <v>29</v>
      </c>
      <c r="H4" s="2" t="s">
        <v>30</v>
      </c>
      <c r="I4" s="2" t="s">
        <v>31</v>
      </c>
      <c r="J4" s="3" t="s">
        <v>32</v>
      </c>
    </row>
    <row r="5" customFormat="false" ht="15" hidden="false" customHeight="false" outlineLevel="0" collapsed="false">
      <c r="A5" s="2" t="s">
        <v>10</v>
      </c>
      <c r="B5" s="3" t="s">
        <v>33</v>
      </c>
      <c r="C5" s="2" t="s">
        <v>34</v>
      </c>
      <c r="D5" s="3" t="s">
        <v>13</v>
      </c>
      <c r="E5" s="2" t="s">
        <v>35</v>
      </c>
      <c r="F5" s="4" t="s">
        <v>15</v>
      </c>
      <c r="G5" s="2" t="s">
        <v>36</v>
      </c>
      <c r="H5" s="2" t="s">
        <v>17</v>
      </c>
      <c r="I5" s="2" t="s">
        <v>37</v>
      </c>
      <c r="J5" s="3" t="s">
        <v>38</v>
      </c>
    </row>
    <row r="6" customFormat="false" ht="15" hidden="false" customHeight="false" outlineLevel="0" collapsed="false">
      <c r="A6" s="2" t="s">
        <v>10</v>
      </c>
      <c r="B6" s="3" t="s">
        <v>39</v>
      </c>
      <c r="C6" s="2" t="s">
        <v>40</v>
      </c>
      <c r="D6" s="3" t="s">
        <v>13</v>
      </c>
      <c r="E6" s="2" t="s">
        <v>41</v>
      </c>
      <c r="F6" s="6" t="s">
        <v>42</v>
      </c>
      <c r="G6" s="2" t="s">
        <v>25</v>
      </c>
      <c r="H6" s="2" t="s">
        <v>17</v>
      </c>
      <c r="I6" s="2" t="s">
        <v>43</v>
      </c>
      <c r="J6" s="3" t="s">
        <v>44</v>
      </c>
    </row>
    <row r="7" customFormat="false" ht="15" hidden="false" customHeight="false" outlineLevel="0" collapsed="false">
      <c r="A7" s="2" t="s">
        <v>10</v>
      </c>
      <c r="B7" s="3" t="s">
        <v>45</v>
      </c>
      <c r="C7" s="2" t="s">
        <v>46</v>
      </c>
      <c r="D7" s="3" t="s">
        <v>13</v>
      </c>
      <c r="E7" s="2" t="s">
        <v>47</v>
      </c>
      <c r="F7" s="7" t="s">
        <v>48</v>
      </c>
      <c r="G7" s="2" t="s">
        <v>25</v>
      </c>
      <c r="H7" s="2" t="s">
        <v>17</v>
      </c>
      <c r="I7" s="2" t="s">
        <v>49</v>
      </c>
      <c r="J7" s="3" t="s">
        <v>50</v>
      </c>
    </row>
    <row r="8" customFormat="false" ht="15" hidden="false" customHeight="false" outlineLevel="0" collapsed="false">
      <c r="A8" s="2" t="s">
        <v>10</v>
      </c>
      <c r="B8" s="3" t="s">
        <v>51</v>
      </c>
      <c r="C8" s="2" t="s">
        <v>52</v>
      </c>
      <c r="D8" s="3" t="s">
        <v>13</v>
      </c>
      <c r="E8" s="2" t="s">
        <v>53</v>
      </c>
      <c r="F8" s="4" t="s">
        <v>15</v>
      </c>
      <c r="G8" s="2" t="s">
        <v>54</v>
      </c>
      <c r="H8" s="2" t="s">
        <v>30</v>
      </c>
      <c r="I8" s="2" t="s">
        <v>55</v>
      </c>
      <c r="J8" s="3" t="s">
        <v>19</v>
      </c>
    </row>
    <row r="9" customFormat="false" ht="15" hidden="false" customHeight="false" outlineLevel="0" collapsed="false">
      <c r="A9" s="2" t="s">
        <v>10</v>
      </c>
      <c r="B9" s="3" t="s">
        <v>56</v>
      </c>
      <c r="C9" s="2" t="s">
        <v>57</v>
      </c>
      <c r="D9" s="3" t="s">
        <v>13</v>
      </c>
      <c r="E9" s="2" t="s">
        <v>58</v>
      </c>
      <c r="F9" s="5" t="s">
        <v>23</v>
      </c>
      <c r="G9" s="2" t="s">
        <v>59</v>
      </c>
      <c r="H9" s="2" t="s">
        <v>30</v>
      </c>
      <c r="I9" s="2" t="s">
        <v>25</v>
      </c>
      <c r="J9" s="3" t="s">
        <v>25</v>
      </c>
    </row>
    <row r="10" customFormat="false" ht="15" hidden="false" customHeight="false" outlineLevel="0" collapsed="false">
      <c r="A10" s="2" t="s">
        <v>10</v>
      </c>
      <c r="B10" s="3" t="s">
        <v>60</v>
      </c>
      <c r="C10" s="2" t="s">
        <v>61</v>
      </c>
      <c r="D10" s="3" t="s">
        <v>13</v>
      </c>
      <c r="E10" s="2" t="s">
        <v>62</v>
      </c>
      <c r="F10" s="4" t="s">
        <v>15</v>
      </c>
      <c r="G10" s="2" t="s">
        <v>63</v>
      </c>
      <c r="H10" s="2" t="s">
        <v>30</v>
      </c>
      <c r="I10" s="2" t="s">
        <v>64</v>
      </c>
      <c r="J10" s="3" t="s">
        <v>44</v>
      </c>
    </row>
    <row r="11" customFormat="false" ht="15" hidden="false" customHeight="false" outlineLevel="0" collapsed="false">
      <c r="A11" s="2" t="s">
        <v>10</v>
      </c>
      <c r="B11" s="3" t="s">
        <v>65</v>
      </c>
      <c r="C11" s="2" t="s">
        <v>66</v>
      </c>
      <c r="D11" s="3" t="s">
        <v>13</v>
      </c>
      <c r="E11" s="2" t="s">
        <v>67</v>
      </c>
      <c r="F11" s="4" t="s">
        <v>15</v>
      </c>
      <c r="G11" s="2" t="s">
        <v>68</v>
      </c>
      <c r="H11" s="2" t="s">
        <v>17</v>
      </c>
      <c r="I11" s="2" t="s">
        <v>69</v>
      </c>
      <c r="J11" s="3" t="s">
        <v>19</v>
      </c>
    </row>
    <row r="12" customFormat="false" ht="15" hidden="false" customHeight="false" outlineLevel="0" collapsed="false">
      <c r="A12" s="2" t="s">
        <v>10</v>
      </c>
      <c r="B12" s="3" t="s">
        <v>70</v>
      </c>
      <c r="C12" s="2" t="s">
        <v>71</v>
      </c>
      <c r="D12" s="3" t="s">
        <v>13</v>
      </c>
      <c r="E12" s="2" t="s">
        <v>72</v>
      </c>
      <c r="F12" s="8" t="s">
        <v>73</v>
      </c>
      <c r="G12" s="2" t="s">
        <v>25</v>
      </c>
      <c r="H12" s="2" t="s">
        <v>74</v>
      </c>
      <c r="I12" s="2" t="s">
        <v>75</v>
      </c>
      <c r="J12" s="3" t="s">
        <v>19</v>
      </c>
    </row>
    <row r="13" customFormat="false" ht="15" hidden="false" customHeight="false" outlineLevel="0" collapsed="false">
      <c r="A13" s="2" t="s">
        <v>10</v>
      </c>
      <c r="B13" s="3" t="s">
        <v>76</v>
      </c>
      <c r="C13" s="2" t="s">
        <v>77</v>
      </c>
      <c r="D13" s="3" t="s">
        <v>13</v>
      </c>
      <c r="E13" s="2" t="s">
        <v>78</v>
      </c>
      <c r="F13" s="4" t="s">
        <v>15</v>
      </c>
      <c r="G13" s="2" t="s">
        <v>79</v>
      </c>
      <c r="H13" s="2" t="s">
        <v>17</v>
      </c>
      <c r="I13" s="2" t="s">
        <v>80</v>
      </c>
      <c r="J13" s="3" t="s">
        <v>32</v>
      </c>
    </row>
    <row r="14" customFormat="false" ht="15" hidden="false" customHeight="false" outlineLevel="0" collapsed="false">
      <c r="A14" s="2" t="s">
        <v>10</v>
      </c>
      <c r="B14" s="3" t="s">
        <v>81</v>
      </c>
      <c r="C14" s="2" t="s">
        <v>82</v>
      </c>
      <c r="D14" s="3" t="s">
        <v>13</v>
      </c>
      <c r="E14" s="2" t="s">
        <v>83</v>
      </c>
      <c r="F14" s="4" t="s">
        <v>15</v>
      </c>
      <c r="G14" s="2" t="s">
        <v>84</v>
      </c>
      <c r="H14" s="2" t="s">
        <v>17</v>
      </c>
      <c r="I14" s="2" t="s">
        <v>85</v>
      </c>
      <c r="J14" s="3" t="s">
        <v>32</v>
      </c>
    </row>
    <row r="15" customFormat="false" ht="15" hidden="false" customHeight="false" outlineLevel="0" collapsed="false">
      <c r="A15" s="2" t="s">
        <v>10</v>
      </c>
      <c r="B15" s="3" t="s">
        <v>86</v>
      </c>
      <c r="C15" s="2" t="s">
        <v>87</v>
      </c>
      <c r="D15" s="3" t="s">
        <v>13</v>
      </c>
      <c r="E15" s="2" t="s">
        <v>88</v>
      </c>
      <c r="F15" s="5" t="s">
        <v>23</v>
      </c>
      <c r="G15" s="2" t="s">
        <v>89</v>
      </c>
      <c r="H15" s="2" t="s">
        <v>30</v>
      </c>
      <c r="I15" s="2" t="s">
        <v>25</v>
      </c>
      <c r="J15" s="3" t="s">
        <v>25</v>
      </c>
    </row>
    <row r="16" customFormat="false" ht="15" hidden="false" customHeight="false" outlineLevel="0" collapsed="false">
      <c r="A16" s="2" t="s">
        <v>10</v>
      </c>
      <c r="B16" s="3" t="s">
        <v>90</v>
      </c>
      <c r="C16" s="2" t="s">
        <v>91</v>
      </c>
      <c r="D16" s="3" t="s">
        <v>13</v>
      </c>
      <c r="E16" s="2" t="s">
        <v>92</v>
      </c>
      <c r="F16" s="5" t="s">
        <v>23</v>
      </c>
      <c r="G16" s="2" t="s">
        <v>93</v>
      </c>
      <c r="H16" s="2" t="s">
        <v>30</v>
      </c>
      <c r="I16" s="2" t="s">
        <v>25</v>
      </c>
      <c r="J16" s="3" t="s">
        <v>25</v>
      </c>
    </row>
    <row r="17" customFormat="false" ht="15" hidden="false" customHeight="false" outlineLevel="0" collapsed="false">
      <c r="A17" s="2" t="s">
        <v>10</v>
      </c>
      <c r="B17" s="3" t="s">
        <v>94</v>
      </c>
      <c r="C17" s="2" t="s">
        <v>95</v>
      </c>
      <c r="D17" s="3" t="s">
        <v>13</v>
      </c>
      <c r="E17" s="2" t="s">
        <v>96</v>
      </c>
      <c r="F17" s="5" t="s">
        <v>23</v>
      </c>
      <c r="G17" s="2" t="s">
        <v>97</v>
      </c>
      <c r="H17" s="2" t="s">
        <v>30</v>
      </c>
      <c r="I17" s="2" t="s">
        <v>25</v>
      </c>
      <c r="J17" s="3" t="s">
        <v>25</v>
      </c>
    </row>
    <row r="18" customFormat="false" ht="23.85" hidden="false" customHeight="false" outlineLevel="0" collapsed="false">
      <c r="A18" s="2" t="s">
        <v>10</v>
      </c>
      <c r="B18" s="3" t="s">
        <v>98</v>
      </c>
      <c r="C18" s="2" t="s">
        <v>99</v>
      </c>
      <c r="D18" s="3" t="s">
        <v>13</v>
      </c>
      <c r="E18" s="2" t="s">
        <v>100</v>
      </c>
      <c r="F18" s="4" t="s">
        <v>15</v>
      </c>
      <c r="G18" s="2" t="s">
        <v>101</v>
      </c>
      <c r="H18" s="2" t="s">
        <v>30</v>
      </c>
      <c r="I18" s="2" t="s">
        <v>102</v>
      </c>
      <c r="J18" s="3" t="s">
        <v>19</v>
      </c>
    </row>
    <row r="19" customFormat="false" ht="15" hidden="false" customHeight="false" outlineLevel="0" collapsed="false">
      <c r="A19" s="2" t="s">
        <v>10</v>
      </c>
      <c r="B19" s="3" t="s">
        <v>103</v>
      </c>
      <c r="C19" s="2" t="s">
        <v>104</v>
      </c>
      <c r="D19" s="3" t="s">
        <v>13</v>
      </c>
      <c r="E19" s="2" t="s">
        <v>105</v>
      </c>
      <c r="F19" s="4" t="s">
        <v>15</v>
      </c>
      <c r="G19" s="2" t="s">
        <v>106</v>
      </c>
      <c r="H19" s="2" t="s">
        <v>17</v>
      </c>
      <c r="I19" s="2" t="s">
        <v>107</v>
      </c>
      <c r="J19" s="3" t="s">
        <v>50</v>
      </c>
    </row>
    <row r="20" customFormat="false" ht="15" hidden="false" customHeight="false" outlineLevel="0" collapsed="false">
      <c r="A20" s="2" t="s">
        <v>10</v>
      </c>
      <c r="B20" s="3" t="s">
        <v>108</v>
      </c>
      <c r="C20" s="2" t="s">
        <v>109</v>
      </c>
      <c r="D20" s="3" t="s">
        <v>13</v>
      </c>
      <c r="E20" s="2" t="s">
        <v>110</v>
      </c>
      <c r="F20" s="4" t="s">
        <v>15</v>
      </c>
      <c r="G20" s="2" t="s">
        <v>111</v>
      </c>
      <c r="H20" s="2" t="s">
        <v>17</v>
      </c>
      <c r="I20" s="2" t="s">
        <v>112</v>
      </c>
      <c r="J20" s="3" t="s">
        <v>44</v>
      </c>
    </row>
    <row r="21" customFormat="false" ht="23.85" hidden="false" customHeight="false" outlineLevel="0" collapsed="false">
      <c r="A21" s="2" t="s">
        <v>10</v>
      </c>
      <c r="B21" s="3" t="s">
        <v>113</v>
      </c>
      <c r="C21" s="2" t="s">
        <v>114</v>
      </c>
      <c r="D21" s="3" t="s">
        <v>13</v>
      </c>
      <c r="E21" s="2" t="s">
        <v>115</v>
      </c>
      <c r="F21" s="6" t="s">
        <v>42</v>
      </c>
      <c r="G21" s="2" t="s">
        <v>25</v>
      </c>
      <c r="H21" s="2" t="s">
        <v>17</v>
      </c>
      <c r="I21" s="2" t="s">
        <v>116</v>
      </c>
      <c r="J21" s="3" t="s">
        <v>50</v>
      </c>
    </row>
    <row r="22" customFormat="false" ht="15" hidden="false" customHeight="false" outlineLevel="0" collapsed="false">
      <c r="A22" s="2" t="s">
        <v>10</v>
      </c>
      <c r="B22" s="3" t="s">
        <v>117</v>
      </c>
      <c r="C22" s="2" t="s">
        <v>118</v>
      </c>
      <c r="D22" s="3" t="s">
        <v>13</v>
      </c>
      <c r="E22" s="2" t="s">
        <v>119</v>
      </c>
      <c r="F22" s="4" t="s">
        <v>15</v>
      </c>
      <c r="G22" s="2" t="s">
        <v>120</v>
      </c>
      <c r="H22" s="2" t="s">
        <v>30</v>
      </c>
      <c r="I22" s="2" t="s">
        <v>121</v>
      </c>
      <c r="J22" s="3" t="s">
        <v>44</v>
      </c>
    </row>
    <row r="23" customFormat="false" ht="15" hidden="false" customHeight="false" outlineLevel="0" collapsed="false">
      <c r="A23" s="2" t="s">
        <v>10</v>
      </c>
      <c r="B23" s="3" t="s">
        <v>122</v>
      </c>
      <c r="C23" s="2" t="s">
        <v>123</v>
      </c>
      <c r="D23" s="3" t="s">
        <v>13</v>
      </c>
      <c r="E23" s="2" t="s">
        <v>124</v>
      </c>
      <c r="F23" s="7" t="s">
        <v>48</v>
      </c>
      <c r="G23" s="2" t="s">
        <v>25</v>
      </c>
      <c r="H23" s="2" t="s">
        <v>17</v>
      </c>
      <c r="I23" s="2" t="s">
        <v>125</v>
      </c>
      <c r="J23" s="3" t="s">
        <v>50</v>
      </c>
    </row>
    <row r="24" customFormat="false" ht="15" hidden="false" customHeight="false" outlineLevel="0" collapsed="false">
      <c r="A24" s="2" t="s">
        <v>10</v>
      </c>
      <c r="B24" s="3" t="s">
        <v>126</v>
      </c>
      <c r="C24" s="2" t="s">
        <v>127</v>
      </c>
      <c r="D24" s="3" t="s">
        <v>13</v>
      </c>
      <c r="E24" s="2" t="s">
        <v>128</v>
      </c>
      <c r="F24" s="4" t="s">
        <v>15</v>
      </c>
      <c r="G24" s="2" t="s">
        <v>129</v>
      </c>
      <c r="H24" s="2" t="s">
        <v>30</v>
      </c>
      <c r="I24" s="2" t="s">
        <v>130</v>
      </c>
      <c r="J24" s="3" t="s">
        <v>50</v>
      </c>
    </row>
    <row r="25" customFormat="false" ht="15" hidden="false" customHeight="false" outlineLevel="0" collapsed="false">
      <c r="A25" s="2" t="s">
        <v>10</v>
      </c>
      <c r="B25" s="3" t="s">
        <v>131</v>
      </c>
      <c r="C25" s="2" t="s">
        <v>132</v>
      </c>
      <c r="D25" s="3" t="s">
        <v>13</v>
      </c>
      <c r="E25" s="2" t="s">
        <v>133</v>
      </c>
      <c r="F25" s="4" t="s">
        <v>15</v>
      </c>
      <c r="G25" s="2" t="s">
        <v>134</v>
      </c>
      <c r="H25" s="2" t="s">
        <v>17</v>
      </c>
      <c r="I25" s="2" t="s">
        <v>135</v>
      </c>
      <c r="J25" s="3" t="s">
        <v>19</v>
      </c>
    </row>
    <row r="26" customFormat="false" ht="15" hidden="false" customHeight="false" outlineLevel="0" collapsed="false">
      <c r="A26" s="2" t="s">
        <v>10</v>
      </c>
      <c r="B26" s="3" t="s">
        <v>136</v>
      </c>
      <c r="C26" s="2" t="s">
        <v>137</v>
      </c>
      <c r="D26" s="3" t="s">
        <v>13</v>
      </c>
      <c r="E26" s="2" t="s">
        <v>138</v>
      </c>
      <c r="F26" s="4" t="s">
        <v>15</v>
      </c>
      <c r="G26" s="2" t="s">
        <v>139</v>
      </c>
      <c r="H26" s="2" t="s">
        <v>30</v>
      </c>
      <c r="I26" s="2" t="s">
        <v>140</v>
      </c>
      <c r="J26" s="3" t="s">
        <v>19</v>
      </c>
    </row>
    <row r="27" customFormat="false" ht="15" hidden="false" customHeight="false" outlineLevel="0" collapsed="false">
      <c r="A27" s="2" t="s">
        <v>10</v>
      </c>
      <c r="B27" s="3" t="s">
        <v>141</v>
      </c>
      <c r="C27" s="2" t="s">
        <v>142</v>
      </c>
      <c r="D27" s="3" t="s">
        <v>13</v>
      </c>
      <c r="E27" s="2" t="s">
        <v>143</v>
      </c>
      <c r="F27" s="4" t="s">
        <v>15</v>
      </c>
      <c r="G27" s="2" t="s">
        <v>134</v>
      </c>
      <c r="H27" s="2" t="s">
        <v>17</v>
      </c>
      <c r="I27" s="2" t="s">
        <v>144</v>
      </c>
      <c r="J27" s="3" t="s">
        <v>145</v>
      </c>
    </row>
    <row r="28" customFormat="false" ht="15" hidden="false" customHeight="false" outlineLevel="0" collapsed="false">
      <c r="A28" s="2" t="s">
        <v>10</v>
      </c>
      <c r="B28" s="3" t="s">
        <v>146</v>
      </c>
      <c r="C28" s="2" t="s">
        <v>147</v>
      </c>
      <c r="D28" s="3" t="s">
        <v>13</v>
      </c>
      <c r="E28" s="2" t="s">
        <v>148</v>
      </c>
      <c r="F28" s="5" t="s">
        <v>23</v>
      </c>
      <c r="G28" s="2" t="s">
        <v>149</v>
      </c>
      <c r="H28" s="2" t="s">
        <v>30</v>
      </c>
      <c r="I28" s="2" t="s">
        <v>25</v>
      </c>
      <c r="J28" s="3" t="s">
        <v>25</v>
      </c>
    </row>
    <row r="29" customFormat="false" ht="15" hidden="false" customHeight="false" outlineLevel="0" collapsed="false">
      <c r="A29" s="2" t="s">
        <v>10</v>
      </c>
      <c r="B29" s="3" t="s">
        <v>150</v>
      </c>
      <c r="C29" s="2" t="s">
        <v>151</v>
      </c>
      <c r="D29" s="3" t="s">
        <v>13</v>
      </c>
      <c r="E29" s="2" t="s">
        <v>152</v>
      </c>
      <c r="F29" s="5" t="s">
        <v>23</v>
      </c>
      <c r="G29" s="2" t="s">
        <v>153</v>
      </c>
      <c r="H29" s="2" t="s">
        <v>30</v>
      </c>
      <c r="I29" s="2" t="s">
        <v>25</v>
      </c>
      <c r="J29" s="3" t="s">
        <v>25</v>
      </c>
    </row>
    <row r="30" customFormat="false" ht="15" hidden="false" customHeight="false" outlineLevel="0" collapsed="false">
      <c r="A30" s="2" t="s">
        <v>10</v>
      </c>
      <c r="B30" s="3" t="s">
        <v>154</v>
      </c>
      <c r="C30" s="2" t="s">
        <v>155</v>
      </c>
      <c r="D30" s="3" t="s">
        <v>13</v>
      </c>
      <c r="E30" s="2" t="s">
        <v>156</v>
      </c>
      <c r="F30" s="4" t="s">
        <v>15</v>
      </c>
      <c r="G30" s="2" t="s">
        <v>157</v>
      </c>
      <c r="H30" s="2" t="s">
        <v>30</v>
      </c>
      <c r="I30" s="2" t="s">
        <v>158</v>
      </c>
      <c r="J30" s="3" t="s">
        <v>32</v>
      </c>
    </row>
    <row r="31" customFormat="false" ht="15" hidden="false" customHeight="false" outlineLevel="0" collapsed="false">
      <c r="A31" s="2" t="s">
        <v>10</v>
      </c>
      <c r="B31" s="3" t="s">
        <v>159</v>
      </c>
      <c r="C31" s="2" t="s">
        <v>160</v>
      </c>
      <c r="D31" s="3" t="s">
        <v>13</v>
      </c>
      <c r="E31" s="2" t="s">
        <v>161</v>
      </c>
      <c r="F31" s="4" t="s">
        <v>15</v>
      </c>
      <c r="G31" s="2" t="s">
        <v>162</v>
      </c>
      <c r="H31" s="2" t="s">
        <v>30</v>
      </c>
      <c r="I31" s="2" t="s">
        <v>163</v>
      </c>
      <c r="J31" s="3" t="s">
        <v>32</v>
      </c>
    </row>
    <row r="32" customFormat="false" ht="15" hidden="false" customHeight="false" outlineLevel="0" collapsed="false">
      <c r="A32" s="2" t="s">
        <v>10</v>
      </c>
      <c r="B32" s="3" t="s">
        <v>164</v>
      </c>
      <c r="C32" s="2" t="s">
        <v>165</v>
      </c>
      <c r="D32" s="3" t="s">
        <v>13</v>
      </c>
      <c r="E32" s="2" t="s">
        <v>166</v>
      </c>
      <c r="F32" s="4" t="s">
        <v>15</v>
      </c>
      <c r="G32" s="2" t="s">
        <v>25</v>
      </c>
      <c r="H32" s="2" t="s">
        <v>17</v>
      </c>
      <c r="I32" s="2" t="s">
        <v>167</v>
      </c>
      <c r="J32" s="3" t="s">
        <v>32</v>
      </c>
    </row>
    <row r="33" customFormat="false" ht="15" hidden="false" customHeight="false" outlineLevel="0" collapsed="false">
      <c r="A33" s="2" t="s">
        <v>10</v>
      </c>
      <c r="B33" s="3" t="s">
        <v>168</v>
      </c>
      <c r="C33" s="2" t="s">
        <v>169</v>
      </c>
      <c r="D33" s="3" t="s">
        <v>13</v>
      </c>
      <c r="E33" s="2" t="s">
        <v>170</v>
      </c>
      <c r="F33" s="7" t="s">
        <v>48</v>
      </c>
      <c r="G33" s="2" t="s">
        <v>25</v>
      </c>
      <c r="H33" s="2" t="s">
        <v>17</v>
      </c>
      <c r="I33" s="2" t="s">
        <v>171</v>
      </c>
      <c r="J33" s="3" t="s">
        <v>50</v>
      </c>
    </row>
    <row r="34" customFormat="false" ht="15" hidden="false" customHeight="false" outlineLevel="0" collapsed="false">
      <c r="A34" s="2" t="s">
        <v>10</v>
      </c>
      <c r="B34" s="3" t="s">
        <v>172</v>
      </c>
      <c r="C34" s="2" t="s">
        <v>173</v>
      </c>
      <c r="D34" s="3" t="s">
        <v>13</v>
      </c>
      <c r="E34" s="2" t="s">
        <v>174</v>
      </c>
      <c r="F34" s="5" t="s">
        <v>23</v>
      </c>
      <c r="G34" s="2" t="s">
        <v>175</v>
      </c>
      <c r="H34" s="2" t="s">
        <v>30</v>
      </c>
      <c r="I34" s="2" t="s">
        <v>176</v>
      </c>
      <c r="J34" s="3" t="s">
        <v>50</v>
      </c>
    </row>
    <row r="35" customFormat="false" ht="15" hidden="false" customHeight="false" outlineLevel="0" collapsed="false">
      <c r="A35" s="2" t="s">
        <v>10</v>
      </c>
      <c r="B35" s="3" t="s">
        <v>177</v>
      </c>
      <c r="C35" s="2" t="s">
        <v>178</v>
      </c>
      <c r="D35" s="3" t="s">
        <v>13</v>
      </c>
      <c r="E35" s="2" t="s">
        <v>179</v>
      </c>
      <c r="F35" s="4" t="s">
        <v>15</v>
      </c>
      <c r="G35" s="2" t="s">
        <v>180</v>
      </c>
      <c r="H35" s="2" t="s">
        <v>17</v>
      </c>
      <c r="I35" s="2" t="s">
        <v>181</v>
      </c>
      <c r="J35" s="3" t="s">
        <v>32</v>
      </c>
    </row>
    <row r="36" customFormat="false" ht="15" hidden="false" customHeight="false" outlineLevel="0" collapsed="false">
      <c r="A36" s="2" t="s">
        <v>10</v>
      </c>
      <c r="B36" s="3" t="s">
        <v>182</v>
      </c>
      <c r="C36" s="2" t="s">
        <v>183</v>
      </c>
      <c r="D36" s="3" t="s">
        <v>13</v>
      </c>
      <c r="E36" s="2" t="s">
        <v>184</v>
      </c>
      <c r="F36" s="6" t="s">
        <v>42</v>
      </c>
      <c r="G36" s="2" t="s">
        <v>185</v>
      </c>
      <c r="H36" s="2" t="s">
        <v>17</v>
      </c>
      <c r="I36" s="2" t="s">
        <v>186</v>
      </c>
      <c r="J36" s="3" t="s">
        <v>145</v>
      </c>
    </row>
    <row r="37" customFormat="false" ht="15" hidden="false" customHeight="false" outlineLevel="0" collapsed="false">
      <c r="A37" s="2" t="s">
        <v>10</v>
      </c>
      <c r="B37" s="3" t="s">
        <v>187</v>
      </c>
      <c r="C37" s="2" t="s">
        <v>188</v>
      </c>
      <c r="D37" s="3" t="s">
        <v>13</v>
      </c>
      <c r="E37" s="2" t="s">
        <v>189</v>
      </c>
      <c r="F37" s="4" t="s">
        <v>15</v>
      </c>
      <c r="G37" s="2" t="s">
        <v>25</v>
      </c>
      <c r="H37" s="2" t="s">
        <v>17</v>
      </c>
      <c r="I37" s="2" t="s">
        <v>190</v>
      </c>
      <c r="J37" s="3" t="s">
        <v>145</v>
      </c>
    </row>
    <row r="38" customFormat="false" ht="15" hidden="false" customHeight="false" outlineLevel="0" collapsed="false">
      <c r="A38" s="2" t="s">
        <v>10</v>
      </c>
      <c r="B38" s="3" t="s">
        <v>191</v>
      </c>
      <c r="C38" s="2" t="s">
        <v>192</v>
      </c>
      <c r="D38" s="3" t="s">
        <v>13</v>
      </c>
      <c r="E38" s="2" t="s">
        <v>193</v>
      </c>
      <c r="F38" s="5" t="s">
        <v>23</v>
      </c>
      <c r="G38" s="2" t="s">
        <v>194</v>
      </c>
      <c r="H38" s="2" t="s">
        <v>30</v>
      </c>
      <c r="I38" s="2" t="s">
        <v>25</v>
      </c>
      <c r="J38" s="3" t="s">
        <v>25</v>
      </c>
    </row>
    <row r="39" customFormat="false" ht="15" hidden="false" customHeight="false" outlineLevel="0" collapsed="false">
      <c r="A39" s="2" t="s">
        <v>195</v>
      </c>
      <c r="B39" s="3" t="s">
        <v>196</v>
      </c>
      <c r="C39" s="2" t="s">
        <v>197</v>
      </c>
      <c r="D39" s="3" t="s">
        <v>13</v>
      </c>
      <c r="E39" s="2" t="s">
        <v>198</v>
      </c>
      <c r="F39" s="8" t="s">
        <v>73</v>
      </c>
      <c r="G39" s="2" t="s">
        <v>25</v>
      </c>
      <c r="H39" s="2" t="s">
        <v>74</v>
      </c>
      <c r="I39" s="2" t="s">
        <v>199</v>
      </c>
      <c r="J39" s="3" t="s">
        <v>19</v>
      </c>
    </row>
    <row r="40" customFormat="false" ht="15" hidden="false" customHeight="false" outlineLevel="0" collapsed="false">
      <c r="A40" s="2" t="s">
        <v>195</v>
      </c>
      <c r="B40" s="3" t="s">
        <v>200</v>
      </c>
      <c r="C40" s="2" t="s">
        <v>201</v>
      </c>
      <c r="D40" s="3" t="s">
        <v>13</v>
      </c>
      <c r="E40" s="2" t="s">
        <v>202</v>
      </c>
      <c r="F40" s="8" t="s">
        <v>73</v>
      </c>
      <c r="G40" s="2" t="s">
        <v>68</v>
      </c>
      <c r="H40" s="2" t="s">
        <v>74</v>
      </c>
      <c r="I40" s="2" t="s">
        <v>25</v>
      </c>
      <c r="J40" s="3" t="s">
        <v>25</v>
      </c>
    </row>
    <row r="41" customFormat="false" ht="15" hidden="false" customHeight="false" outlineLevel="0" collapsed="false">
      <c r="A41" s="2" t="s">
        <v>195</v>
      </c>
      <c r="B41" s="3" t="s">
        <v>203</v>
      </c>
      <c r="C41" s="2" t="s">
        <v>204</v>
      </c>
      <c r="D41" s="3" t="s">
        <v>13</v>
      </c>
      <c r="E41" s="2" t="s">
        <v>205</v>
      </c>
      <c r="F41" s="6" t="s">
        <v>42</v>
      </c>
      <c r="G41" s="2" t="s">
        <v>25</v>
      </c>
      <c r="H41" s="2" t="s">
        <v>17</v>
      </c>
      <c r="I41" s="2" t="s">
        <v>206</v>
      </c>
      <c r="J41" s="3" t="s">
        <v>19</v>
      </c>
    </row>
    <row r="42" customFormat="false" ht="15" hidden="false" customHeight="false" outlineLevel="0" collapsed="false">
      <c r="A42" s="2" t="s">
        <v>195</v>
      </c>
      <c r="B42" s="3" t="s">
        <v>207</v>
      </c>
      <c r="C42" s="2" t="s">
        <v>208</v>
      </c>
      <c r="D42" s="3" t="s">
        <v>13</v>
      </c>
      <c r="E42" s="2" t="s">
        <v>209</v>
      </c>
      <c r="F42" s="8" t="s">
        <v>73</v>
      </c>
      <c r="G42" s="2" t="s">
        <v>25</v>
      </c>
      <c r="H42" s="2" t="s">
        <v>74</v>
      </c>
      <c r="I42" s="2" t="s">
        <v>25</v>
      </c>
      <c r="J42" s="3" t="s">
        <v>25</v>
      </c>
    </row>
    <row r="43" customFormat="false" ht="15" hidden="false" customHeight="false" outlineLevel="0" collapsed="false">
      <c r="A43" s="2" t="s">
        <v>195</v>
      </c>
      <c r="B43" s="3" t="s">
        <v>210</v>
      </c>
      <c r="C43" s="2" t="s">
        <v>211</v>
      </c>
      <c r="D43" s="3" t="s">
        <v>13</v>
      </c>
      <c r="E43" s="2" t="s">
        <v>212</v>
      </c>
      <c r="F43" s="4" t="s">
        <v>15</v>
      </c>
      <c r="G43" s="2" t="s">
        <v>213</v>
      </c>
      <c r="H43" s="2" t="s">
        <v>30</v>
      </c>
      <c r="I43" s="2" t="s">
        <v>75</v>
      </c>
      <c r="J43" s="3" t="s">
        <v>19</v>
      </c>
    </row>
    <row r="44" customFormat="false" ht="15" hidden="false" customHeight="false" outlineLevel="0" collapsed="false">
      <c r="A44" s="2" t="s">
        <v>195</v>
      </c>
      <c r="B44" s="3" t="s">
        <v>214</v>
      </c>
      <c r="C44" s="2" t="s">
        <v>215</v>
      </c>
      <c r="D44" s="3" t="s">
        <v>13</v>
      </c>
      <c r="E44" s="2" t="s">
        <v>216</v>
      </c>
      <c r="F44" s="4" t="s">
        <v>15</v>
      </c>
      <c r="G44" s="2" t="s">
        <v>217</v>
      </c>
      <c r="H44" s="2" t="s">
        <v>74</v>
      </c>
      <c r="I44" s="2" t="s">
        <v>218</v>
      </c>
      <c r="J44" s="3" t="s">
        <v>19</v>
      </c>
    </row>
    <row r="45" customFormat="false" ht="15" hidden="false" customHeight="false" outlineLevel="0" collapsed="false">
      <c r="A45" s="2" t="s">
        <v>195</v>
      </c>
      <c r="B45" s="3" t="s">
        <v>219</v>
      </c>
      <c r="C45" s="2" t="s">
        <v>220</v>
      </c>
      <c r="D45" s="3" t="s">
        <v>13</v>
      </c>
      <c r="E45" s="2" t="s">
        <v>221</v>
      </c>
      <c r="F45" s="4" t="s">
        <v>15</v>
      </c>
      <c r="G45" s="2" t="s">
        <v>222</v>
      </c>
      <c r="H45" s="2" t="s">
        <v>30</v>
      </c>
      <c r="I45" s="2" t="s">
        <v>25</v>
      </c>
      <c r="J45" s="3" t="s">
        <v>25</v>
      </c>
    </row>
    <row r="46" customFormat="false" ht="15" hidden="false" customHeight="false" outlineLevel="0" collapsed="false">
      <c r="A46" s="2" t="s">
        <v>195</v>
      </c>
      <c r="B46" s="3" t="s">
        <v>223</v>
      </c>
      <c r="C46" s="2" t="s">
        <v>224</v>
      </c>
      <c r="D46" s="3" t="s">
        <v>13</v>
      </c>
      <c r="E46" s="2" t="s">
        <v>225</v>
      </c>
      <c r="F46" s="4" t="s">
        <v>15</v>
      </c>
      <c r="G46" s="2" t="s">
        <v>226</v>
      </c>
      <c r="H46" s="2" t="s">
        <v>17</v>
      </c>
      <c r="I46" s="2" t="s">
        <v>227</v>
      </c>
      <c r="J46" s="3" t="s">
        <v>19</v>
      </c>
    </row>
    <row r="47" customFormat="false" ht="15" hidden="false" customHeight="false" outlineLevel="0" collapsed="false">
      <c r="A47" s="2" t="s">
        <v>228</v>
      </c>
      <c r="B47" s="3" t="s">
        <v>229</v>
      </c>
      <c r="C47" s="2" t="s">
        <v>230</v>
      </c>
      <c r="D47" s="3" t="s">
        <v>13</v>
      </c>
      <c r="E47" s="2" t="s">
        <v>231</v>
      </c>
      <c r="F47" s="8" t="s">
        <v>73</v>
      </c>
      <c r="G47" s="2" t="s">
        <v>25</v>
      </c>
      <c r="H47" s="2" t="s">
        <v>232</v>
      </c>
      <c r="I47" s="2" t="s">
        <v>233</v>
      </c>
      <c r="J47" s="3" t="s">
        <v>145</v>
      </c>
    </row>
    <row r="48" customFormat="false" ht="15" hidden="false" customHeight="false" outlineLevel="0" collapsed="false">
      <c r="A48" s="2" t="s">
        <v>228</v>
      </c>
      <c r="B48" s="3" t="s">
        <v>234</v>
      </c>
      <c r="C48" s="2" t="s">
        <v>235</v>
      </c>
      <c r="D48" s="3" t="s">
        <v>13</v>
      </c>
      <c r="E48" s="2" t="s">
        <v>236</v>
      </c>
      <c r="F48" s="8" t="s">
        <v>73</v>
      </c>
      <c r="G48" s="2" t="s">
        <v>25</v>
      </c>
      <c r="H48" s="2" t="s">
        <v>232</v>
      </c>
      <c r="I48" s="2" t="s">
        <v>237</v>
      </c>
      <c r="J48" s="3" t="s">
        <v>145</v>
      </c>
    </row>
    <row r="49" customFormat="false" ht="15" hidden="false" customHeight="false" outlineLevel="0" collapsed="false">
      <c r="A49" s="2" t="s">
        <v>228</v>
      </c>
      <c r="B49" s="3" t="s">
        <v>238</v>
      </c>
      <c r="C49" s="2" t="s">
        <v>239</v>
      </c>
      <c r="D49" s="3" t="s">
        <v>13</v>
      </c>
      <c r="E49" s="2" t="s">
        <v>240</v>
      </c>
      <c r="F49" s="8" t="s">
        <v>73</v>
      </c>
      <c r="G49" s="2" t="s">
        <v>25</v>
      </c>
      <c r="H49" s="2" t="s">
        <v>232</v>
      </c>
      <c r="I49" s="2" t="s">
        <v>241</v>
      </c>
      <c r="J49" s="3" t="s">
        <v>145</v>
      </c>
    </row>
    <row r="50" customFormat="false" ht="15" hidden="false" customHeight="false" outlineLevel="0" collapsed="false">
      <c r="A50" s="2" t="s">
        <v>228</v>
      </c>
      <c r="B50" s="3" t="s">
        <v>242</v>
      </c>
      <c r="C50" s="2" t="s">
        <v>243</v>
      </c>
      <c r="D50" s="3" t="s">
        <v>13</v>
      </c>
      <c r="E50" s="2" t="s">
        <v>244</v>
      </c>
      <c r="F50" s="8" t="s">
        <v>73</v>
      </c>
      <c r="G50" s="2" t="s">
        <v>25</v>
      </c>
      <c r="H50" s="2" t="s">
        <v>232</v>
      </c>
      <c r="I50" s="2" t="s">
        <v>245</v>
      </c>
      <c r="J50" s="3" t="s">
        <v>145</v>
      </c>
    </row>
    <row r="51" customFormat="false" ht="15" hidden="false" customHeight="false" outlineLevel="0" collapsed="false">
      <c r="A51" s="2" t="s">
        <v>228</v>
      </c>
      <c r="B51" s="3" t="s">
        <v>246</v>
      </c>
      <c r="C51" s="2" t="s">
        <v>247</v>
      </c>
      <c r="D51" s="3" t="s">
        <v>13</v>
      </c>
      <c r="E51" s="2" t="s">
        <v>248</v>
      </c>
      <c r="F51" s="8" t="s">
        <v>73</v>
      </c>
      <c r="G51" s="2" t="s">
        <v>25</v>
      </c>
      <c r="H51" s="2" t="s">
        <v>232</v>
      </c>
      <c r="I51" s="2" t="s">
        <v>245</v>
      </c>
      <c r="J51" s="3" t="s">
        <v>145</v>
      </c>
    </row>
    <row r="52" customFormat="false" ht="15" hidden="false" customHeight="false" outlineLevel="0" collapsed="false">
      <c r="A52" s="2" t="s">
        <v>228</v>
      </c>
      <c r="B52" s="3" t="s">
        <v>249</v>
      </c>
      <c r="C52" s="2" t="s">
        <v>250</v>
      </c>
      <c r="D52" s="3" t="s">
        <v>13</v>
      </c>
      <c r="E52" s="2" t="s">
        <v>251</v>
      </c>
      <c r="F52" s="8" t="s">
        <v>73</v>
      </c>
      <c r="G52" s="2" t="s">
        <v>25</v>
      </c>
      <c r="H52" s="2" t="s">
        <v>232</v>
      </c>
      <c r="I52" s="2" t="s">
        <v>245</v>
      </c>
      <c r="J52" s="3" t="s">
        <v>145</v>
      </c>
    </row>
    <row r="53" customFormat="false" ht="15" hidden="false" customHeight="false" outlineLevel="0" collapsed="false">
      <c r="A53" s="2" t="s">
        <v>228</v>
      </c>
      <c r="B53" s="3" t="s">
        <v>252</v>
      </c>
      <c r="C53" s="2" t="s">
        <v>253</v>
      </c>
      <c r="D53" s="3" t="s">
        <v>13</v>
      </c>
      <c r="E53" s="2" t="s">
        <v>254</v>
      </c>
      <c r="F53" s="7" t="s">
        <v>48</v>
      </c>
      <c r="G53" s="2" t="s">
        <v>68</v>
      </c>
      <c r="H53" s="2" t="s">
        <v>17</v>
      </c>
      <c r="I53" s="2" t="s">
        <v>255</v>
      </c>
      <c r="J53" s="3" t="s">
        <v>19</v>
      </c>
    </row>
    <row r="54" customFormat="false" ht="15" hidden="false" customHeight="false" outlineLevel="0" collapsed="false">
      <c r="A54" s="2" t="s">
        <v>228</v>
      </c>
      <c r="B54" s="3" t="s">
        <v>256</v>
      </c>
      <c r="C54" s="2" t="s">
        <v>257</v>
      </c>
      <c r="D54" s="3" t="s">
        <v>13</v>
      </c>
      <c r="E54" s="2" t="s">
        <v>258</v>
      </c>
      <c r="F54" s="8" t="s">
        <v>73</v>
      </c>
      <c r="G54" s="2" t="s">
        <v>25</v>
      </c>
      <c r="H54" s="2" t="s">
        <v>232</v>
      </c>
      <c r="I54" s="2" t="s">
        <v>237</v>
      </c>
      <c r="J54" s="3" t="s">
        <v>145</v>
      </c>
    </row>
    <row r="55" customFormat="false" ht="15" hidden="false" customHeight="false" outlineLevel="0" collapsed="false">
      <c r="A55" s="2" t="s">
        <v>228</v>
      </c>
      <c r="B55" s="3" t="s">
        <v>259</v>
      </c>
      <c r="C55" s="2" t="s">
        <v>260</v>
      </c>
      <c r="D55" s="3" t="s">
        <v>13</v>
      </c>
      <c r="E55" s="2" t="s">
        <v>261</v>
      </c>
      <c r="F55" s="4" t="s">
        <v>15</v>
      </c>
      <c r="G55" s="2" t="s">
        <v>262</v>
      </c>
      <c r="H55" s="2" t="s">
        <v>30</v>
      </c>
      <c r="I55" s="2" t="s">
        <v>263</v>
      </c>
      <c r="J55" s="3" t="s">
        <v>145</v>
      </c>
    </row>
    <row r="56" customFormat="false" ht="15" hidden="false" customHeight="false" outlineLevel="0" collapsed="false">
      <c r="A56" s="2" t="s">
        <v>228</v>
      </c>
      <c r="B56" s="3" t="s">
        <v>264</v>
      </c>
      <c r="C56" s="2" t="s">
        <v>265</v>
      </c>
      <c r="D56" s="3" t="s">
        <v>13</v>
      </c>
      <c r="E56" s="2" t="s">
        <v>266</v>
      </c>
      <c r="F56" s="4" t="s">
        <v>15</v>
      </c>
      <c r="G56" s="2" t="s">
        <v>25</v>
      </c>
      <c r="H56" s="2" t="s">
        <v>232</v>
      </c>
      <c r="I56" s="2" t="s">
        <v>267</v>
      </c>
      <c r="J56" s="3" t="s">
        <v>145</v>
      </c>
    </row>
    <row r="57" customFormat="false" ht="15" hidden="false" customHeight="false" outlineLevel="0" collapsed="false">
      <c r="A57" s="2" t="s">
        <v>228</v>
      </c>
      <c r="B57" s="3" t="s">
        <v>268</v>
      </c>
      <c r="C57" s="2" t="s">
        <v>269</v>
      </c>
      <c r="D57" s="3" t="s">
        <v>13</v>
      </c>
      <c r="E57" s="2" t="s">
        <v>270</v>
      </c>
      <c r="F57" s="8" t="s">
        <v>73</v>
      </c>
      <c r="G57" s="2" t="s">
        <v>25</v>
      </c>
      <c r="H57" s="2" t="s">
        <v>232</v>
      </c>
      <c r="I57" s="2" t="s">
        <v>245</v>
      </c>
      <c r="J57" s="3" t="s">
        <v>145</v>
      </c>
    </row>
    <row r="58" customFormat="false" ht="15" hidden="false" customHeight="false" outlineLevel="0" collapsed="false">
      <c r="A58" s="2" t="s">
        <v>228</v>
      </c>
      <c r="B58" s="3" t="s">
        <v>271</v>
      </c>
      <c r="C58" s="2" t="s">
        <v>272</v>
      </c>
      <c r="D58" s="3" t="s">
        <v>13</v>
      </c>
      <c r="E58" s="2" t="s">
        <v>273</v>
      </c>
      <c r="F58" s="8" t="s">
        <v>73</v>
      </c>
      <c r="G58" s="2" t="s">
        <v>25</v>
      </c>
      <c r="H58" s="2" t="s">
        <v>232</v>
      </c>
      <c r="I58" s="2" t="s">
        <v>245</v>
      </c>
      <c r="J58" s="3" t="s">
        <v>145</v>
      </c>
    </row>
    <row r="59" customFormat="false" ht="15" hidden="false" customHeight="false" outlineLevel="0" collapsed="false">
      <c r="A59" s="2" t="s">
        <v>228</v>
      </c>
      <c r="B59" s="3" t="s">
        <v>274</v>
      </c>
      <c r="C59" s="2" t="s">
        <v>275</v>
      </c>
      <c r="D59" s="3" t="s">
        <v>13</v>
      </c>
      <c r="E59" s="2" t="s">
        <v>276</v>
      </c>
      <c r="F59" s="8" t="s">
        <v>73</v>
      </c>
      <c r="G59" s="2" t="s">
        <v>25</v>
      </c>
      <c r="H59" s="2" t="s">
        <v>232</v>
      </c>
      <c r="I59" s="2" t="s">
        <v>25</v>
      </c>
      <c r="J59" s="3" t="s">
        <v>25</v>
      </c>
    </row>
    <row r="60" customFormat="false" ht="15" hidden="false" customHeight="false" outlineLevel="0" collapsed="false">
      <c r="A60" s="2" t="s">
        <v>228</v>
      </c>
      <c r="B60" s="3" t="s">
        <v>277</v>
      </c>
      <c r="C60" s="2" t="s">
        <v>278</v>
      </c>
      <c r="D60" s="3" t="s">
        <v>13</v>
      </c>
      <c r="E60" s="2" t="s">
        <v>279</v>
      </c>
      <c r="F60" s="4" t="s">
        <v>15</v>
      </c>
      <c r="G60" s="2" t="s">
        <v>25</v>
      </c>
      <c r="H60" s="2" t="s">
        <v>232</v>
      </c>
      <c r="I60" s="2" t="s">
        <v>280</v>
      </c>
      <c r="J60" s="3" t="s">
        <v>145</v>
      </c>
    </row>
    <row r="61" customFormat="false" ht="15" hidden="false" customHeight="false" outlineLevel="0" collapsed="false">
      <c r="A61" s="2" t="s">
        <v>281</v>
      </c>
      <c r="B61" s="3" t="s">
        <v>282</v>
      </c>
      <c r="C61" s="2" t="s">
        <v>283</v>
      </c>
      <c r="D61" s="3" t="s">
        <v>13</v>
      </c>
      <c r="E61" s="2" t="s">
        <v>284</v>
      </c>
      <c r="F61" s="4" t="s">
        <v>15</v>
      </c>
      <c r="G61" s="2" t="s">
        <v>285</v>
      </c>
      <c r="H61" s="2" t="s">
        <v>30</v>
      </c>
      <c r="I61" s="2" t="s">
        <v>286</v>
      </c>
      <c r="J61" s="3" t="s">
        <v>145</v>
      </c>
    </row>
    <row r="62" customFormat="false" ht="23.85" hidden="false" customHeight="false" outlineLevel="0" collapsed="false">
      <c r="A62" s="2" t="s">
        <v>281</v>
      </c>
      <c r="B62" s="3" t="s">
        <v>287</v>
      </c>
      <c r="C62" s="2" t="s">
        <v>288</v>
      </c>
      <c r="D62" s="3" t="s">
        <v>13</v>
      </c>
      <c r="E62" s="2" t="s">
        <v>289</v>
      </c>
      <c r="F62" s="4" t="s">
        <v>15</v>
      </c>
      <c r="G62" s="2" t="s">
        <v>290</v>
      </c>
      <c r="H62" s="2" t="s">
        <v>30</v>
      </c>
      <c r="I62" s="2" t="s">
        <v>291</v>
      </c>
      <c r="J62" s="3" t="s">
        <v>50</v>
      </c>
    </row>
    <row r="63" customFormat="false" ht="15" hidden="false" customHeight="false" outlineLevel="0" collapsed="false">
      <c r="A63" s="2" t="s">
        <v>281</v>
      </c>
      <c r="B63" s="3" t="s">
        <v>292</v>
      </c>
      <c r="C63" s="2" t="s">
        <v>293</v>
      </c>
      <c r="D63" s="3" t="s">
        <v>13</v>
      </c>
      <c r="E63" s="2" t="s">
        <v>294</v>
      </c>
      <c r="F63" s="5" t="s">
        <v>23</v>
      </c>
      <c r="G63" s="2" t="s">
        <v>295</v>
      </c>
      <c r="H63" s="2" t="s">
        <v>30</v>
      </c>
      <c r="I63" s="2" t="s">
        <v>25</v>
      </c>
      <c r="J63" s="3" t="s">
        <v>25</v>
      </c>
    </row>
    <row r="64" customFormat="false" ht="15" hidden="false" customHeight="false" outlineLevel="0" collapsed="false">
      <c r="A64" s="2" t="s">
        <v>281</v>
      </c>
      <c r="B64" s="3" t="s">
        <v>296</v>
      </c>
      <c r="C64" s="2" t="s">
        <v>297</v>
      </c>
      <c r="D64" s="3" t="s">
        <v>13</v>
      </c>
      <c r="E64" s="2" t="s">
        <v>298</v>
      </c>
      <c r="F64" s="4" t="s">
        <v>15</v>
      </c>
      <c r="G64" s="2" t="s">
        <v>299</v>
      </c>
      <c r="H64" s="2" t="s">
        <v>30</v>
      </c>
      <c r="I64" s="2" t="s">
        <v>300</v>
      </c>
      <c r="J64" s="3" t="s">
        <v>50</v>
      </c>
    </row>
    <row r="65" customFormat="false" ht="15" hidden="false" customHeight="false" outlineLevel="0" collapsed="false">
      <c r="A65" s="2" t="s">
        <v>281</v>
      </c>
      <c r="B65" s="3" t="s">
        <v>301</v>
      </c>
      <c r="C65" s="2" t="s">
        <v>302</v>
      </c>
      <c r="D65" s="3" t="s">
        <v>13</v>
      </c>
      <c r="E65" s="2" t="s">
        <v>303</v>
      </c>
      <c r="F65" s="5" t="s">
        <v>23</v>
      </c>
      <c r="G65" s="2" t="s">
        <v>304</v>
      </c>
      <c r="H65" s="2" t="s">
        <v>30</v>
      </c>
      <c r="I65" s="2" t="s">
        <v>25</v>
      </c>
      <c r="J65" s="3" t="s">
        <v>25</v>
      </c>
    </row>
    <row r="66" customFormat="false" ht="15" hidden="false" customHeight="false" outlineLevel="0" collapsed="false">
      <c r="A66" s="2" t="s">
        <v>281</v>
      </c>
      <c r="B66" s="3" t="s">
        <v>305</v>
      </c>
      <c r="C66" s="2" t="s">
        <v>306</v>
      </c>
      <c r="D66" s="3" t="s">
        <v>13</v>
      </c>
      <c r="E66" s="2" t="s">
        <v>307</v>
      </c>
      <c r="F66" s="4" t="s">
        <v>15</v>
      </c>
      <c r="G66" s="2" t="s">
        <v>308</v>
      </c>
      <c r="H66" s="2" t="s">
        <v>30</v>
      </c>
      <c r="I66" s="2" t="s">
        <v>25</v>
      </c>
      <c r="J66" s="3" t="s">
        <v>25</v>
      </c>
    </row>
    <row r="67" customFormat="false" ht="15" hidden="false" customHeight="false" outlineLevel="0" collapsed="false">
      <c r="A67" s="2" t="s">
        <v>281</v>
      </c>
      <c r="B67" s="3" t="s">
        <v>309</v>
      </c>
      <c r="C67" s="2" t="s">
        <v>310</v>
      </c>
      <c r="D67" s="3" t="s">
        <v>13</v>
      </c>
      <c r="E67" s="2" t="s">
        <v>311</v>
      </c>
      <c r="F67" s="8" t="s">
        <v>73</v>
      </c>
      <c r="G67" s="2" t="s">
        <v>262</v>
      </c>
      <c r="H67" s="2" t="s">
        <v>232</v>
      </c>
      <c r="I67" s="2" t="s">
        <v>25</v>
      </c>
      <c r="J67" s="3" t="s">
        <v>25</v>
      </c>
    </row>
    <row r="68" customFormat="false" ht="15" hidden="false" customHeight="false" outlineLevel="0" collapsed="false">
      <c r="A68" s="2" t="s">
        <v>281</v>
      </c>
      <c r="B68" s="3" t="s">
        <v>312</v>
      </c>
      <c r="C68" s="2" t="s">
        <v>313</v>
      </c>
      <c r="D68" s="3" t="s">
        <v>13</v>
      </c>
      <c r="E68" s="2" t="s">
        <v>314</v>
      </c>
      <c r="F68" s="6" t="s">
        <v>42</v>
      </c>
      <c r="G68" s="2" t="s">
        <v>25</v>
      </c>
      <c r="H68" s="2" t="s">
        <v>30</v>
      </c>
      <c r="I68" s="2" t="s">
        <v>315</v>
      </c>
      <c r="J68" s="3" t="s">
        <v>19</v>
      </c>
    </row>
    <row r="69" customFormat="false" ht="15" hidden="false" customHeight="false" outlineLevel="0" collapsed="false">
      <c r="A69" s="2" t="s">
        <v>281</v>
      </c>
      <c r="B69" s="3" t="s">
        <v>316</v>
      </c>
      <c r="C69" s="2" t="s">
        <v>317</v>
      </c>
      <c r="D69" s="3" t="s">
        <v>13</v>
      </c>
      <c r="E69" s="2" t="s">
        <v>318</v>
      </c>
      <c r="F69" s="5" t="s">
        <v>23</v>
      </c>
      <c r="G69" s="2" t="s">
        <v>319</v>
      </c>
      <c r="H69" s="2" t="s">
        <v>30</v>
      </c>
      <c r="I69" s="2" t="s">
        <v>25</v>
      </c>
      <c r="J69" s="3" t="s">
        <v>25</v>
      </c>
    </row>
    <row r="70" customFormat="false" ht="15" hidden="false" customHeight="false" outlineLevel="0" collapsed="false">
      <c r="A70" s="2" t="s">
        <v>281</v>
      </c>
      <c r="B70" s="3" t="s">
        <v>320</v>
      </c>
      <c r="C70" s="2" t="s">
        <v>321</v>
      </c>
      <c r="D70" s="3" t="s">
        <v>13</v>
      </c>
      <c r="E70" s="2" t="s">
        <v>322</v>
      </c>
      <c r="F70" s="4" t="s">
        <v>15</v>
      </c>
      <c r="G70" s="2" t="s">
        <v>323</v>
      </c>
      <c r="H70" s="2" t="s">
        <v>30</v>
      </c>
      <c r="I70" s="2" t="s">
        <v>324</v>
      </c>
      <c r="J70" s="3" t="s">
        <v>50</v>
      </c>
    </row>
    <row r="71" customFormat="false" ht="15" hidden="false" customHeight="false" outlineLevel="0" collapsed="false">
      <c r="A71" s="2" t="s">
        <v>281</v>
      </c>
      <c r="B71" s="3" t="s">
        <v>325</v>
      </c>
      <c r="C71" s="2" t="s">
        <v>326</v>
      </c>
      <c r="D71" s="3" t="s">
        <v>13</v>
      </c>
      <c r="E71" s="2" t="s">
        <v>327</v>
      </c>
      <c r="F71" s="4" t="s">
        <v>15</v>
      </c>
      <c r="G71" s="2" t="s">
        <v>328</v>
      </c>
      <c r="H71" s="2" t="s">
        <v>30</v>
      </c>
      <c r="I71" s="2" t="s">
        <v>25</v>
      </c>
      <c r="J71" s="3" t="s">
        <v>25</v>
      </c>
    </row>
    <row r="72" customFormat="false" ht="15" hidden="false" customHeight="false" outlineLevel="0" collapsed="false">
      <c r="A72" s="2" t="s">
        <v>281</v>
      </c>
      <c r="B72" s="3" t="s">
        <v>329</v>
      </c>
      <c r="C72" s="2" t="s">
        <v>330</v>
      </c>
      <c r="D72" s="3" t="s">
        <v>13</v>
      </c>
      <c r="E72" s="2" t="s">
        <v>331</v>
      </c>
      <c r="F72" s="4" t="s">
        <v>15</v>
      </c>
      <c r="G72" s="2" t="s">
        <v>332</v>
      </c>
      <c r="H72" s="2" t="s">
        <v>30</v>
      </c>
      <c r="I72" s="2" t="s">
        <v>333</v>
      </c>
      <c r="J72" s="3" t="s">
        <v>50</v>
      </c>
    </row>
    <row r="73" customFormat="false" ht="15" hidden="false" customHeight="false" outlineLevel="0" collapsed="false">
      <c r="A73" s="2" t="s">
        <v>281</v>
      </c>
      <c r="B73" s="3" t="s">
        <v>334</v>
      </c>
      <c r="C73" s="2" t="s">
        <v>335</v>
      </c>
      <c r="D73" s="3" t="s">
        <v>13</v>
      </c>
      <c r="E73" s="2" t="s">
        <v>336</v>
      </c>
      <c r="F73" s="4" t="s">
        <v>15</v>
      </c>
      <c r="G73" s="2" t="s">
        <v>337</v>
      </c>
      <c r="H73" s="2" t="s">
        <v>30</v>
      </c>
      <c r="I73" s="2" t="s">
        <v>338</v>
      </c>
      <c r="J73" s="3" t="s">
        <v>32</v>
      </c>
    </row>
    <row r="74" customFormat="false" ht="15" hidden="false" customHeight="false" outlineLevel="0" collapsed="false">
      <c r="A74" s="2" t="s">
        <v>281</v>
      </c>
      <c r="B74" s="3" t="s">
        <v>339</v>
      </c>
      <c r="C74" s="2" t="s">
        <v>340</v>
      </c>
      <c r="D74" s="3" t="s">
        <v>13</v>
      </c>
      <c r="E74" s="2" t="s">
        <v>341</v>
      </c>
      <c r="F74" s="5" t="s">
        <v>23</v>
      </c>
      <c r="G74" s="2" t="s">
        <v>342</v>
      </c>
      <c r="H74" s="2" t="s">
        <v>30</v>
      </c>
      <c r="I74" s="2" t="s">
        <v>25</v>
      </c>
      <c r="J74" s="3" t="s">
        <v>25</v>
      </c>
    </row>
    <row r="75" customFormat="false" ht="15" hidden="false" customHeight="false" outlineLevel="0" collapsed="false">
      <c r="A75" s="2" t="s">
        <v>281</v>
      </c>
      <c r="B75" s="3" t="s">
        <v>343</v>
      </c>
      <c r="C75" s="2" t="s">
        <v>344</v>
      </c>
      <c r="D75" s="3" t="s">
        <v>13</v>
      </c>
      <c r="E75" s="2" t="s">
        <v>345</v>
      </c>
      <c r="F75" s="5" t="s">
        <v>23</v>
      </c>
      <c r="G75" s="2" t="s">
        <v>346</v>
      </c>
      <c r="H75" s="2" t="s">
        <v>30</v>
      </c>
      <c r="I75" s="2" t="s">
        <v>25</v>
      </c>
      <c r="J75" s="3" t="s">
        <v>25</v>
      </c>
    </row>
    <row r="76" customFormat="false" ht="15" hidden="false" customHeight="false" outlineLevel="0" collapsed="false">
      <c r="A76" s="2" t="s">
        <v>281</v>
      </c>
      <c r="B76" s="3" t="s">
        <v>347</v>
      </c>
      <c r="C76" s="2" t="s">
        <v>348</v>
      </c>
      <c r="D76" s="3" t="s">
        <v>13</v>
      </c>
      <c r="E76" s="2" t="s">
        <v>349</v>
      </c>
      <c r="F76" s="4" t="s">
        <v>15</v>
      </c>
      <c r="G76" s="2" t="s">
        <v>350</v>
      </c>
      <c r="H76" s="2" t="s">
        <v>30</v>
      </c>
      <c r="I76" s="2" t="s">
        <v>351</v>
      </c>
      <c r="J76" s="3" t="s">
        <v>19</v>
      </c>
    </row>
    <row r="77" customFormat="false" ht="15" hidden="false" customHeight="false" outlineLevel="0" collapsed="false">
      <c r="A77" s="2" t="s">
        <v>281</v>
      </c>
      <c r="B77" s="3" t="s">
        <v>352</v>
      </c>
      <c r="C77" s="2" t="s">
        <v>353</v>
      </c>
      <c r="D77" s="3" t="s">
        <v>13</v>
      </c>
      <c r="E77" s="2" t="s">
        <v>354</v>
      </c>
      <c r="F77" s="5" t="s">
        <v>23</v>
      </c>
      <c r="G77" s="2" t="s">
        <v>355</v>
      </c>
      <c r="H77" s="2" t="s">
        <v>30</v>
      </c>
      <c r="I77" s="2" t="s">
        <v>25</v>
      </c>
      <c r="J77" s="3" t="s">
        <v>25</v>
      </c>
    </row>
    <row r="78" customFormat="false" ht="15" hidden="false" customHeight="false" outlineLevel="0" collapsed="false">
      <c r="A78" s="2" t="s">
        <v>281</v>
      </c>
      <c r="B78" s="3" t="s">
        <v>356</v>
      </c>
      <c r="C78" s="2" t="s">
        <v>357</v>
      </c>
      <c r="D78" s="3" t="s">
        <v>13</v>
      </c>
      <c r="E78" s="2" t="s">
        <v>358</v>
      </c>
      <c r="F78" s="4" t="s">
        <v>15</v>
      </c>
      <c r="G78" s="2" t="s">
        <v>359</v>
      </c>
      <c r="H78" s="2" t="s">
        <v>30</v>
      </c>
      <c r="I78" s="2" t="s">
        <v>25</v>
      </c>
      <c r="J78" s="3" t="s">
        <v>25</v>
      </c>
    </row>
    <row r="79" customFormat="false" ht="23.85" hidden="false" customHeight="false" outlineLevel="0" collapsed="false">
      <c r="A79" s="2" t="s">
        <v>281</v>
      </c>
      <c r="B79" s="3" t="s">
        <v>360</v>
      </c>
      <c r="C79" s="2" t="s">
        <v>361</v>
      </c>
      <c r="D79" s="3" t="s">
        <v>13</v>
      </c>
      <c r="E79" s="2" t="s">
        <v>362</v>
      </c>
      <c r="F79" s="5" t="s">
        <v>23</v>
      </c>
      <c r="G79" s="2" t="s">
        <v>363</v>
      </c>
      <c r="H79" s="2" t="s">
        <v>30</v>
      </c>
      <c r="I79" s="2" t="s">
        <v>25</v>
      </c>
      <c r="J79" s="3" t="s">
        <v>25</v>
      </c>
    </row>
    <row r="80" customFormat="false" ht="15" hidden="false" customHeight="false" outlineLevel="0" collapsed="false">
      <c r="A80" s="2" t="s">
        <v>281</v>
      </c>
      <c r="B80" s="3" t="s">
        <v>364</v>
      </c>
      <c r="C80" s="2" t="s">
        <v>365</v>
      </c>
      <c r="D80" s="3" t="s">
        <v>13</v>
      </c>
      <c r="E80" s="2" t="s">
        <v>366</v>
      </c>
      <c r="F80" s="4" t="s">
        <v>15</v>
      </c>
      <c r="G80" s="2" t="s">
        <v>367</v>
      </c>
      <c r="H80" s="2" t="s">
        <v>30</v>
      </c>
      <c r="I80" s="2" t="s">
        <v>25</v>
      </c>
      <c r="J80" s="3" t="s">
        <v>25</v>
      </c>
    </row>
    <row r="81" customFormat="false" ht="15" hidden="false" customHeight="false" outlineLevel="0" collapsed="false">
      <c r="A81" s="2" t="s">
        <v>281</v>
      </c>
      <c r="B81" s="3" t="s">
        <v>368</v>
      </c>
      <c r="C81" s="2" t="s">
        <v>369</v>
      </c>
      <c r="D81" s="3" t="s">
        <v>13</v>
      </c>
      <c r="E81" s="2" t="s">
        <v>370</v>
      </c>
      <c r="F81" s="4" t="s">
        <v>15</v>
      </c>
      <c r="G81" s="2" t="s">
        <v>371</v>
      </c>
      <c r="H81" s="2" t="s">
        <v>30</v>
      </c>
      <c r="I81" s="2" t="s">
        <v>25</v>
      </c>
      <c r="J81" s="3" t="s">
        <v>25</v>
      </c>
    </row>
    <row r="82" customFormat="false" ht="15" hidden="false" customHeight="false" outlineLevel="0" collapsed="false">
      <c r="A82" s="2" t="s">
        <v>281</v>
      </c>
      <c r="B82" s="3" t="s">
        <v>372</v>
      </c>
      <c r="C82" s="2" t="s">
        <v>373</v>
      </c>
      <c r="D82" s="3" t="s">
        <v>13</v>
      </c>
      <c r="E82" s="2" t="s">
        <v>374</v>
      </c>
      <c r="F82" s="4" t="s">
        <v>15</v>
      </c>
      <c r="G82" s="2" t="s">
        <v>375</v>
      </c>
      <c r="H82" s="2" t="s">
        <v>30</v>
      </c>
      <c r="I82" s="2" t="s">
        <v>25</v>
      </c>
      <c r="J82" s="3" t="s">
        <v>25</v>
      </c>
    </row>
    <row r="83" customFormat="false" ht="15" hidden="false" customHeight="false" outlineLevel="0" collapsed="false">
      <c r="A83" s="2" t="s">
        <v>281</v>
      </c>
      <c r="B83" s="3" t="s">
        <v>376</v>
      </c>
      <c r="C83" s="2" t="s">
        <v>377</v>
      </c>
      <c r="D83" s="3" t="s">
        <v>13</v>
      </c>
      <c r="E83" s="2" t="s">
        <v>378</v>
      </c>
      <c r="F83" s="4" t="s">
        <v>15</v>
      </c>
      <c r="G83" s="2" t="s">
        <v>379</v>
      </c>
      <c r="H83" s="2" t="s">
        <v>30</v>
      </c>
      <c r="I83" s="2" t="s">
        <v>380</v>
      </c>
      <c r="J83" s="3" t="s">
        <v>50</v>
      </c>
    </row>
    <row r="84" customFormat="false" ht="15" hidden="false" customHeight="false" outlineLevel="0" collapsed="false">
      <c r="A84" s="2" t="s">
        <v>281</v>
      </c>
      <c r="B84" s="3" t="s">
        <v>381</v>
      </c>
      <c r="C84" s="2" t="s">
        <v>382</v>
      </c>
      <c r="D84" s="3" t="s">
        <v>13</v>
      </c>
      <c r="E84" s="2" t="s">
        <v>383</v>
      </c>
      <c r="F84" s="4" t="s">
        <v>15</v>
      </c>
      <c r="G84" s="2" t="s">
        <v>384</v>
      </c>
      <c r="H84" s="2" t="s">
        <v>30</v>
      </c>
      <c r="I84" s="2" t="s">
        <v>385</v>
      </c>
      <c r="J84" s="3" t="s">
        <v>50</v>
      </c>
    </row>
    <row r="85" customFormat="false" ht="15" hidden="false" customHeight="false" outlineLevel="0" collapsed="false">
      <c r="A85" s="2" t="s">
        <v>281</v>
      </c>
      <c r="B85" s="3" t="s">
        <v>386</v>
      </c>
      <c r="C85" s="2" t="s">
        <v>387</v>
      </c>
      <c r="D85" s="3" t="s">
        <v>13</v>
      </c>
      <c r="E85" s="2" t="s">
        <v>388</v>
      </c>
      <c r="F85" s="4" t="s">
        <v>15</v>
      </c>
      <c r="G85" s="2" t="s">
        <v>389</v>
      </c>
      <c r="H85" s="2" t="s">
        <v>30</v>
      </c>
      <c r="I85" s="2" t="s">
        <v>25</v>
      </c>
      <c r="J85" s="3" t="s">
        <v>25</v>
      </c>
    </row>
    <row r="86" customFormat="false" ht="15" hidden="false" customHeight="false" outlineLevel="0" collapsed="false">
      <c r="A86" s="2" t="s">
        <v>281</v>
      </c>
      <c r="B86" s="3" t="s">
        <v>390</v>
      </c>
      <c r="C86" s="2" t="s">
        <v>391</v>
      </c>
      <c r="D86" s="3" t="s">
        <v>13</v>
      </c>
      <c r="E86" s="2" t="s">
        <v>392</v>
      </c>
      <c r="F86" s="4" t="s">
        <v>15</v>
      </c>
      <c r="G86" s="2" t="s">
        <v>393</v>
      </c>
      <c r="H86" s="2" t="s">
        <v>30</v>
      </c>
      <c r="I86" s="2" t="s">
        <v>394</v>
      </c>
      <c r="J86" s="3" t="s">
        <v>50</v>
      </c>
    </row>
    <row r="87" customFormat="false" ht="15" hidden="false" customHeight="false" outlineLevel="0" collapsed="false">
      <c r="A87" s="2" t="s">
        <v>281</v>
      </c>
      <c r="B87" s="3" t="s">
        <v>395</v>
      </c>
      <c r="C87" s="2" t="s">
        <v>396</v>
      </c>
      <c r="D87" s="3" t="s">
        <v>13</v>
      </c>
      <c r="E87" s="2" t="s">
        <v>397</v>
      </c>
      <c r="F87" s="5" t="s">
        <v>23</v>
      </c>
      <c r="G87" s="2" t="s">
        <v>398</v>
      </c>
      <c r="H87" s="2" t="s">
        <v>30</v>
      </c>
      <c r="I87" s="2" t="s">
        <v>25</v>
      </c>
      <c r="J87" s="3" t="s">
        <v>25</v>
      </c>
    </row>
    <row r="88" customFormat="false" ht="15" hidden="false" customHeight="false" outlineLevel="0" collapsed="false">
      <c r="A88" s="2" t="s">
        <v>281</v>
      </c>
      <c r="B88" s="3" t="s">
        <v>399</v>
      </c>
      <c r="C88" s="2" t="s">
        <v>400</v>
      </c>
      <c r="D88" s="3" t="s">
        <v>13</v>
      </c>
      <c r="E88" s="2" t="s">
        <v>401</v>
      </c>
      <c r="F88" s="4" t="s">
        <v>15</v>
      </c>
      <c r="G88" s="2" t="s">
        <v>402</v>
      </c>
      <c r="H88" s="2" t="s">
        <v>30</v>
      </c>
      <c r="I88" s="2" t="s">
        <v>25</v>
      </c>
      <c r="J88" s="3" t="s">
        <v>25</v>
      </c>
    </row>
    <row r="89" customFormat="false" ht="15" hidden="false" customHeight="false" outlineLevel="0" collapsed="false">
      <c r="A89" s="2" t="s">
        <v>281</v>
      </c>
      <c r="B89" s="3" t="s">
        <v>403</v>
      </c>
      <c r="C89" s="2" t="s">
        <v>404</v>
      </c>
      <c r="D89" s="3" t="s">
        <v>13</v>
      </c>
      <c r="E89" s="2" t="s">
        <v>405</v>
      </c>
      <c r="F89" s="4" t="s">
        <v>15</v>
      </c>
      <c r="G89" s="2" t="s">
        <v>406</v>
      </c>
      <c r="H89" s="2" t="s">
        <v>30</v>
      </c>
      <c r="I89" s="2" t="s">
        <v>407</v>
      </c>
      <c r="J89" s="3" t="s">
        <v>408</v>
      </c>
    </row>
    <row r="90" customFormat="false" ht="15" hidden="false" customHeight="false" outlineLevel="0" collapsed="false">
      <c r="A90" s="2" t="s">
        <v>281</v>
      </c>
      <c r="B90" s="3" t="s">
        <v>409</v>
      </c>
      <c r="C90" s="2" t="s">
        <v>410</v>
      </c>
      <c r="D90" s="3" t="s">
        <v>411</v>
      </c>
      <c r="E90" s="2" t="s">
        <v>412</v>
      </c>
      <c r="F90" s="9" t="s">
        <v>413</v>
      </c>
      <c r="G90" s="2" t="s">
        <v>25</v>
      </c>
      <c r="H90" s="2" t="s">
        <v>25</v>
      </c>
      <c r="I90" s="2" t="s">
        <v>25</v>
      </c>
      <c r="J90" s="3" t="s">
        <v>25</v>
      </c>
    </row>
    <row r="91" customFormat="false" ht="15" hidden="false" customHeight="false" outlineLevel="0" collapsed="false">
      <c r="A91" s="2" t="s">
        <v>281</v>
      </c>
      <c r="B91" s="3" t="s">
        <v>414</v>
      </c>
      <c r="C91" s="2" t="s">
        <v>415</v>
      </c>
      <c r="D91" s="3" t="s">
        <v>13</v>
      </c>
      <c r="E91" s="2" t="s">
        <v>416</v>
      </c>
      <c r="F91" s="5" t="s">
        <v>23</v>
      </c>
      <c r="G91" s="2" t="s">
        <v>417</v>
      </c>
      <c r="H91" s="2" t="s">
        <v>30</v>
      </c>
      <c r="I91" s="2" t="s">
        <v>25</v>
      </c>
      <c r="J91" s="3" t="s">
        <v>25</v>
      </c>
    </row>
    <row r="92" customFormat="false" ht="15" hidden="false" customHeight="false" outlineLevel="0" collapsed="false">
      <c r="A92" s="2" t="s">
        <v>281</v>
      </c>
      <c r="B92" s="3" t="s">
        <v>418</v>
      </c>
      <c r="C92" s="2" t="s">
        <v>419</v>
      </c>
      <c r="D92" s="3" t="s">
        <v>13</v>
      </c>
      <c r="E92" s="2" t="s">
        <v>420</v>
      </c>
      <c r="F92" s="5" t="s">
        <v>23</v>
      </c>
      <c r="G92" s="2" t="s">
        <v>421</v>
      </c>
      <c r="H92" s="2" t="s">
        <v>30</v>
      </c>
      <c r="I92" s="2" t="s">
        <v>25</v>
      </c>
      <c r="J92" s="3" t="s">
        <v>25</v>
      </c>
    </row>
    <row r="93" customFormat="false" ht="15" hidden="false" customHeight="false" outlineLevel="0" collapsed="false">
      <c r="A93" s="2" t="s">
        <v>281</v>
      </c>
      <c r="B93" s="3" t="s">
        <v>422</v>
      </c>
      <c r="C93" s="2" t="s">
        <v>423</v>
      </c>
      <c r="D93" s="3" t="s">
        <v>13</v>
      </c>
      <c r="E93" s="2" t="s">
        <v>424</v>
      </c>
      <c r="F93" s="4" t="s">
        <v>15</v>
      </c>
      <c r="G93" s="2" t="s">
        <v>425</v>
      </c>
      <c r="H93" s="2" t="s">
        <v>30</v>
      </c>
      <c r="I93" s="2" t="s">
        <v>394</v>
      </c>
      <c r="J93" s="3" t="s">
        <v>50</v>
      </c>
    </row>
    <row r="94" customFormat="false" ht="15" hidden="false" customHeight="false" outlineLevel="0" collapsed="false">
      <c r="A94" s="2" t="s">
        <v>281</v>
      </c>
      <c r="B94" s="3" t="s">
        <v>426</v>
      </c>
      <c r="C94" s="2" t="s">
        <v>427</v>
      </c>
      <c r="D94" s="3" t="s">
        <v>13</v>
      </c>
      <c r="E94" s="2" t="s">
        <v>428</v>
      </c>
      <c r="F94" s="4" t="s">
        <v>15</v>
      </c>
      <c r="G94" s="2" t="s">
        <v>429</v>
      </c>
      <c r="H94" s="2" t="s">
        <v>30</v>
      </c>
      <c r="I94" s="2" t="s">
        <v>25</v>
      </c>
      <c r="J94" s="3" t="s">
        <v>25</v>
      </c>
    </row>
  </sheetData>
  <autoFilter ref="A1:J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0" t="s">
        <v>430</v>
      </c>
    </row>
    <row r="3" customFormat="false" ht="15" hidden="false" customHeight="false" outlineLevel="0" collapsed="false">
      <c r="A3" s="11" t="s">
        <v>5</v>
      </c>
      <c r="B3" s="11" t="s">
        <v>431</v>
      </c>
    </row>
    <row r="4" customFormat="false" ht="15" hidden="false" customHeight="false" outlineLevel="0" collapsed="false">
      <c r="A4" s="12" t="s">
        <v>23</v>
      </c>
      <c r="B4" s="11" t="n">
        <f aca="false">COUNTIF('SoA register'!$F$2:$F$94,"HOTOVO")</f>
        <v>19</v>
      </c>
    </row>
    <row r="5" customFormat="false" ht="15" hidden="false" customHeight="false" outlineLevel="0" collapsed="false">
      <c r="A5" s="13" t="s">
        <v>15</v>
      </c>
      <c r="B5" s="11" t="n">
        <f aca="false">COUNTIF('SoA register'!$F$2:$F$94,"ROZPRACOVÁNO")</f>
        <v>49</v>
      </c>
    </row>
    <row r="6" customFormat="false" ht="15" hidden="false" customHeight="false" outlineLevel="0" collapsed="false">
      <c r="A6" s="14" t="s">
        <v>42</v>
      </c>
      <c r="B6" s="11" t="n">
        <f aca="false">COUNTIF('SoA register'!$F$2:$F$94,"ZBÝVÁ")</f>
        <v>5</v>
      </c>
    </row>
    <row r="7" customFormat="false" ht="15" hidden="false" customHeight="false" outlineLevel="0" collapsed="false">
      <c r="A7" s="15" t="s">
        <v>48</v>
      </c>
      <c r="B7" s="11" t="n">
        <f aca="false">COUNTIF('SoA register'!$F$2:$F$94,"PROCES-ISMS")</f>
        <v>4</v>
      </c>
    </row>
    <row r="8" customFormat="false" ht="15" hidden="false" customHeight="false" outlineLevel="0" collapsed="false">
      <c r="A8" s="16" t="s">
        <v>73</v>
      </c>
      <c r="B8" s="11" t="n">
        <f aca="false">COUNTIF('SoA register'!$F$2:$F$94,"EUROSOFT-INFRA")</f>
        <v>15</v>
      </c>
    </row>
    <row r="9" customFormat="false" ht="15" hidden="false" customHeight="false" outlineLevel="0" collapsed="false">
      <c r="A9" s="17" t="s">
        <v>413</v>
      </c>
      <c r="B9" s="11" t="n">
        <f aca="false">COUNTIF('SoA register'!$F$2:$F$94,"NEAPLIKOVATELNÉ")</f>
        <v>1</v>
      </c>
    </row>
    <row r="10" customFormat="false" ht="15" hidden="false" customHeight="false" outlineLevel="0" collapsed="false">
      <c r="A10" s="18" t="s">
        <v>432</v>
      </c>
      <c r="B10" s="18" t="n">
        <f aca="false">SUM(B4:B9)</f>
        <v>93</v>
      </c>
    </row>
    <row r="13" customFormat="false" ht="15" hidden="false" customHeight="false" outlineLevel="0" collapsed="false">
      <c r="A13" s="18" t="s">
        <v>433</v>
      </c>
    </row>
    <row r="14" customFormat="false" ht="15" hidden="false" customHeight="false" outlineLevel="0" collapsed="false">
      <c r="A14" s="11" t="s">
        <v>13</v>
      </c>
      <c r="B14" s="11" t="n">
        <f aca="false">COUNTIF('SoA register'!$D$2:$D$94,"Ano")</f>
        <v>92</v>
      </c>
    </row>
    <row r="15" customFormat="false" ht="15" hidden="false" customHeight="false" outlineLevel="0" collapsed="false">
      <c r="A15" s="11" t="s">
        <v>434</v>
      </c>
      <c r="B15" s="11" t="n">
        <f aca="false">COUNTIF('SoA register'!$D$2:$D$94,"Ne")</f>
        <v>1</v>
      </c>
    </row>
    <row r="17" customFormat="false" ht="15" hidden="false" customHeight="false" outlineLevel="0" collapsed="false">
      <c r="A17" s="18" t="s">
        <v>435</v>
      </c>
    </row>
    <row r="18" customFormat="false" ht="15" hidden="false" customHeight="false" outlineLevel="0" collapsed="false">
      <c r="A18" s="11" t="s">
        <v>436</v>
      </c>
      <c r="B18" s="11" t="n">
        <f aca="false">COUNTIFS('SoA register'!$I$2:$I$94,"&lt;&gt;—",'SoA register'!$I$2:$I$94,"&lt;&gt;")</f>
        <v>60</v>
      </c>
    </row>
    <row r="20" customFormat="false" ht="15" hidden="false" customHeight="false" outlineLevel="0" collapsed="false">
      <c r="A20" s="11" t="s">
        <v>437</v>
      </c>
      <c r="B20" s="11" t="n">
        <f aca="false">COUNTIF('SoA register'!$F$2:$F$94,"HOTOVO")+COUNTIF('SoA register'!$F$2:$F$94,"ROZPRACOVÁNO")</f>
        <v>68</v>
      </c>
    </row>
    <row r="22" customFormat="false" ht="15" hidden="false" customHeight="true" outlineLevel="0" collapsed="false">
      <c r="A22" s="19" t="s">
        <v>438</v>
      </c>
      <c r="B22" s="19"/>
      <c r="C22" s="19"/>
      <c r="D22" s="19"/>
      <c r="E22" s="19"/>
      <c r="F22" s="19"/>
      <c r="G22" s="19"/>
      <c r="H22" s="19"/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</row>
  </sheetData>
  <mergeCells count="1">
    <mergeCell ref="A22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2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1</v>
      </c>
      <c r="B1" s="1" t="s">
        <v>439</v>
      </c>
      <c r="C1" s="1" t="s">
        <v>5</v>
      </c>
      <c r="D1" s="1" t="s">
        <v>8</v>
      </c>
      <c r="E1" s="1" t="s">
        <v>7</v>
      </c>
      <c r="F1" s="1" t="s">
        <v>9</v>
      </c>
    </row>
    <row r="2" customFormat="false" ht="15" hidden="false" customHeight="false" outlineLevel="0" collapsed="false">
      <c r="A2" s="3" t="s">
        <v>108</v>
      </c>
      <c r="B2" s="2" t="s">
        <v>109</v>
      </c>
      <c r="C2" s="4" t="s">
        <v>15</v>
      </c>
      <c r="D2" s="2" t="s">
        <v>112</v>
      </c>
      <c r="E2" s="2" t="s">
        <v>17</v>
      </c>
      <c r="F2" s="3" t="s">
        <v>44</v>
      </c>
    </row>
    <row r="3" customFormat="false" ht="15" hidden="false" customHeight="false" outlineLevel="0" collapsed="false">
      <c r="A3" s="3" t="s">
        <v>117</v>
      </c>
      <c r="B3" s="2" t="s">
        <v>118</v>
      </c>
      <c r="C3" s="4" t="s">
        <v>15</v>
      </c>
      <c r="D3" s="2" t="s">
        <v>121</v>
      </c>
      <c r="E3" s="2" t="s">
        <v>30</v>
      </c>
      <c r="F3" s="3" t="s">
        <v>44</v>
      </c>
    </row>
    <row r="4" customFormat="false" ht="15" hidden="false" customHeight="false" outlineLevel="0" collapsed="false">
      <c r="A4" s="3" t="s">
        <v>39</v>
      </c>
      <c r="B4" s="2" t="s">
        <v>40</v>
      </c>
      <c r="C4" s="6" t="s">
        <v>42</v>
      </c>
      <c r="D4" s="2" t="s">
        <v>43</v>
      </c>
      <c r="E4" s="2" t="s">
        <v>17</v>
      </c>
      <c r="F4" s="3" t="s">
        <v>44</v>
      </c>
    </row>
    <row r="5" customFormat="false" ht="15" hidden="false" customHeight="false" outlineLevel="0" collapsed="false">
      <c r="A5" s="3" t="s">
        <v>60</v>
      </c>
      <c r="B5" s="2" t="s">
        <v>61</v>
      </c>
      <c r="C5" s="4" t="s">
        <v>15</v>
      </c>
      <c r="D5" s="2" t="s">
        <v>64</v>
      </c>
      <c r="E5" s="2" t="s">
        <v>30</v>
      </c>
      <c r="F5" s="3" t="s">
        <v>44</v>
      </c>
    </row>
    <row r="6" customFormat="false" ht="15" hidden="false" customHeight="false" outlineLevel="0" collapsed="false">
      <c r="A6" s="3" t="s">
        <v>76</v>
      </c>
      <c r="B6" s="2" t="s">
        <v>77</v>
      </c>
      <c r="C6" s="4" t="s">
        <v>15</v>
      </c>
      <c r="D6" s="2" t="s">
        <v>80</v>
      </c>
      <c r="E6" s="2" t="s">
        <v>17</v>
      </c>
      <c r="F6" s="3" t="s">
        <v>32</v>
      </c>
    </row>
    <row r="7" customFormat="false" ht="15" hidden="false" customHeight="false" outlineLevel="0" collapsed="false">
      <c r="A7" s="3" t="s">
        <v>81</v>
      </c>
      <c r="B7" s="2" t="s">
        <v>82</v>
      </c>
      <c r="C7" s="4" t="s">
        <v>15</v>
      </c>
      <c r="D7" s="2" t="s">
        <v>85</v>
      </c>
      <c r="E7" s="2" t="s">
        <v>17</v>
      </c>
      <c r="F7" s="3" t="s">
        <v>32</v>
      </c>
    </row>
    <row r="8" customFormat="false" ht="15" hidden="false" customHeight="false" outlineLevel="0" collapsed="false">
      <c r="A8" s="3" t="s">
        <v>154</v>
      </c>
      <c r="B8" s="2" t="s">
        <v>155</v>
      </c>
      <c r="C8" s="4" t="s">
        <v>15</v>
      </c>
      <c r="D8" s="2" t="s">
        <v>158</v>
      </c>
      <c r="E8" s="2" t="s">
        <v>30</v>
      </c>
      <c r="F8" s="3" t="s">
        <v>32</v>
      </c>
    </row>
    <row r="9" customFormat="false" ht="15" hidden="false" customHeight="false" outlineLevel="0" collapsed="false">
      <c r="A9" s="3" t="s">
        <v>26</v>
      </c>
      <c r="B9" s="2" t="s">
        <v>27</v>
      </c>
      <c r="C9" s="4" t="s">
        <v>15</v>
      </c>
      <c r="D9" s="2" t="s">
        <v>31</v>
      </c>
      <c r="E9" s="2" t="s">
        <v>30</v>
      </c>
      <c r="F9" s="3" t="s">
        <v>32</v>
      </c>
    </row>
    <row r="10" customFormat="false" ht="15" hidden="false" customHeight="false" outlineLevel="0" collapsed="false">
      <c r="A10" s="3" t="s">
        <v>159</v>
      </c>
      <c r="B10" s="2" t="s">
        <v>160</v>
      </c>
      <c r="C10" s="4" t="s">
        <v>15</v>
      </c>
      <c r="D10" s="2" t="s">
        <v>163</v>
      </c>
      <c r="E10" s="2" t="s">
        <v>30</v>
      </c>
      <c r="F10" s="3" t="s">
        <v>32</v>
      </c>
    </row>
    <row r="11" customFormat="false" ht="15" hidden="false" customHeight="false" outlineLevel="0" collapsed="false">
      <c r="A11" s="3" t="s">
        <v>164</v>
      </c>
      <c r="B11" s="2" t="s">
        <v>165</v>
      </c>
      <c r="C11" s="4" t="s">
        <v>15</v>
      </c>
      <c r="D11" s="2" t="s">
        <v>167</v>
      </c>
      <c r="E11" s="2" t="s">
        <v>17</v>
      </c>
      <c r="F11" s="3" t="s">
        <v>32</v>
      </c>
    </row>
    <row r="12" customFormat="false" ht="15" hidden="false" customHeight="false" outlineLevel="0" collapsed="false">
      <c r="A12" s="3" t="s">
        <v>177</v>
      </c>
      <c r="B12" s="2" t="s">
        <v>178</v>
      </c>
      <c r="C12" s="4" t="s">
        <v>15</v>
      </c>
      <c r="D12" s="2" t="s">
        <v>181</v>
      </c>
      <c r="E12" s="2" t="s">
        <v>17</v>
      </c>
      <c r="F12" s="3" t="s">
        <v>32</v>
      </c>
    </row>
    <row r="13" customFormat="false" ht="15" hidden="false" customHeight="false" outlineLevel="0" collapsed="false">
      <c r="A13" s="3" t="s">
        <v>334</v>
      </c>
      <c r="B13" s="2" t="s">
        <v>335</v>
      </c>
      <c r="C13" s="4" t="s">
        <v>15</v>
      </c>
      <c r="D13" s="2" t="s">
        <v>338</v>
      </c>
      <c r="E13" s="2" t="s">
        <v>30</v>
      </c>
      <c r="F13" s="3" t="s">
        <v>32</v>
      </c>
    </row>
    <row r="14" customFormat="false" ht="15" hidden="false" customHeight="false" outlineLevel="0" collapsed="false">
      <c r="A14" s="3" t="s">
        <v>11</v>
      </c>
      <c r="B14" s="2" t="s">
        <v>12</v>
      </c>
      <c r="C14" s="4" t="s">
        <v>15</v>
      </c>
      <c r="D14" s="2" t="s">
        <v>18</v>
      </c>
      <c r="E14" s="2" t="s">
        <v>17</v>
      </c>
      <c r="F14" s="3" t="s">
        <v>19</v>
      </c>
    </row>
    <row r="15" customFormat="false" ht="15" hidden="false" customHeight="false" outlineLevel="0" collapsed="false">
      <c r="A15" s="3" t="s">
        <v>65</v>
      </c>
      <c r="B15" s="2" t="s">
        <v>66</v>
      </c>
      <c r="C15" s="4" t="s">
        <v>15</v>
      </c>
      <c r="D15" s="2" t="s">
        <v>69</v>
      </c>
      <c r="E15" s="2" t="s">
        <v>17</v>
      </c>
      <c r="F15" s="3" t="s">
        <v>19</v>
      </c>
    </row>
    <row r="16" customFormat="false" ht="15" hidden="false" customHeight="false" outlineLevel="0" collapsed="false">
      <c r="A16" s="3" t="s">
        <v>70</v>
      </c>
      <c r="B16" s="2" t="s">
        <v>71</v>
      </c>
      <c r="C16" s="8" t="s">
        <v>73</v>
      </c>
      <c r="D16" s="2" t="s">
        <v>75</v>
      </c>
      <c r="E16" s="2" t="s">
        <v>74</v>
      </c>
      <c r="F16" s="3" t="s">
        <v>19</v>
      </c>
    </row>
    <row r="17" customFormat="false" ht="15" hidden="false" customHeight="false" outlineLevel="0" collapsed="false">
      <c r="A17" s="3" t="s">
        <v>98</v>
      </c>
      <c r="B17" s="2" t="s">
        <v>99</v>
      </c>
      <c r="C17" s="4" t="s">
        <v>15</v>
      </c>
      <c r="D17" s="2" t="s">
        <v>102</v>
      </c>
      <c r="E17" s="2" t="s">
        <v>30</v>
      </c>
      <c r="F17" s="3" t="s">
        <v>19</v>
      </c>
    </row>
    <row r="18" customFormat="false" ht="15" hidden="false" customHeight="false" outlineLevel="0" collapsed="false">
      <c r="A18" s="3" t="s">
        <v>131</v>
      </c>
      <c r="B18" s="2" t="s">
        <v>132</v>
      </c>
      <c r="C18" s="4" t="s">
        <v>15</v>
      </c>
      <c r="D18" s="2" t="s">
        <v>135</v>
      </c>
      <c r="E18" s="2" t="s">
        <v>17</v>
      </c>
      <c r="F18" s="3" t="s">
        <v>19</v>
      </c>
    </row>
    <row r="19" customFormat="false" ht="15" hidden="false" customHeight="false" outlineLevel="0" collapsed="false">
      <c r="A19" s="3" t="s">
        <v>136</v>
      </c>
      <c r="B19" s="2" t="s">
        <v>137</v>
      </c>
      <c r="C19" s="4" t="s">
        <v>15</v>
      </c>
      <c r="D19" s="2" t="s">
        <v>140</v>
      </c>
      <c r="E19" s="2" t="s">
        <v>30</v>
      </c>
      <c r="F19" s="3" t="s">
        <v>19</v>
      </c>
    </row>
    <row r="20" customFormat="false" ht="15" hidden="false" customHeight="false" outlineLevel="0" collapsed="false">
      <c r="A20" s="3" t="s">
        <v>51</v>
      </c>
      <c r="B20" s="2" t="s">
        <v>52</v>
      </c>
      <c r="C20" s="4" t="s">
        <v>15</v>
      </c>
      <c r="D20" s="2" t="s">
        <v>55</v>
      </c>
      <c r="E20" s="2" t="s">
        <v>30</v>
      </c>
      <c r="F20" s="3" t="s">
        <v>19</v>
      </c>
    </row>
    <row r="21" customFormat="false" ht="15" hidden="false" customHeight="false" outlineLevel="0" collapsed="false">
      <c r="A21" s="3" t="s">
        <v>196</v>
      </c>
      <c r="B21" s="2" t="s">
        <v>197</v>
      </c>
      <c r="C21" s="8" t="s">
        <v>73</v>
      </c>
      <c r="D21" s="2" t="s">
        <v>199</v>
      </c>
      <c r="E21" s="2" t="s">
        <v>74</v>
      </c>
      <c r="F21" s="3" t="s">
        <v>19</v>
      </c>
    </row>
    <row r="22" customFormat="false" ht="15" hidden="false" customHeight="false" outlineLevel="0" collapsed="false">
      <c r="A22" s="3" t="s">
        <v>203</v>
      </c>
      <c r="B22" s="2" t="s">
        <v>204</v>
      </c>
      <c r="C22" s="6" t="s">
        <v>42</v>
      </c>
      <c r="D22" s="2" t="s">
        <v>206</v>
      </c>
      <c r="E22" s="2" t="s">
        <v>17</v>
      </c>
      <c r="F22" s="3" t="s">
        <v>19</v>
      </c>
    </row>
    <row r="23" customFormat="false" ht="15" hidden="false" customHeight="false" outlineLevel="0" collapsed="false">
      <c r="A23" s="3" t="s">
        <v>210</v>
      </c>
      <c r="B23" s="2" t="s">
        <v>211</v>
      </c>
      <c r="C23" s="4" t="s">
        <v>15</v>
      </c>
      <c r="D23" s="2" t="s">
        <v>75</v>
      </c>
      <c r="E23" s="2" t="s">
        <v>30</v>
      </c>
      <c r="F23" s="3" t="s">
        <v>19</v>
      </c>
    </row>
    <row r="24" customFormat="false" ht="15" hidden="false" customHeight="false" outlineLevel="0" collapsed="false">
      <c r="A24" s="3" t="s">
        <v>214</v>
      </c>
      <c r="B24" s="2" t="s">
        <v>215</v>
      </c>
      <c r="C24" s="4" t="s">
        <v>15</v>
      </c>
      <c r="D24" s="2" t="s">
        <v>218</v>
      </c>
      <c r="E24" s="2" t="s">
        <v>74</v>
      </c>
      <c r="F24" s="3" t="s">
        <v>19</v>
      </c>
    </row>
    <row r="25" customFormat="false" ht="15" hidden="false" customHeight="false" outlineLevel="0" collapsed="false">
      <c r="A25" s="3" t="s">
        <v>223</v>
      </c>
      <c r="B25" s="2" t="s">
        <v>224</v>
      </c>
      <c r="C25" s="4" t="s">
        <v>15</v>
      </c>
      <c r="D25" s="2" t="s">
        <v>227</v>
      </c>
      <c r="E25" s="2" t="s">
        <v>17</v>
      </c>
      <c r="F25" s="3" t="s">
        <v>19</v>
      </c>
    </row>
    <row r="26" customFormat="false" ht="15" hidden="false" customHeight="false" outlineLevel="0" collapsed="false">
      <c r="A26" s="3" t="s">
        <v>252</v>
      </c>
      <c r="B26" s="2" t="s">
        <v>253</v>
      </c>
      <c r="C26" s="7" t="s">
        <v>48</v>
      </c>
      <c r="D26" s="2" t="s">
        <v>255</v>
      </c>
      <c r="E26" s="2" t="s">
        <v>17</v>
      </c>
      <c r="F26" s="3" t="s">
        <v>19</v>
      </c>
    </row>
    <row r="27" customFormat="false" ht="15" hidden="false" customHeight="false" outlineLevel="0" collapsed="false">
      <c r="A27" s="3" t="s">
        <v>347</v>
      </c>
      <c r="B27" s="2" t="s">
        <v>348</v>
      </c>
      <c r="C27" s="4" t="s">
        <v>15</v>
      </c>
      <c r="D27" s="2" t="s">
        <v>351</v>
      </c>
      <c r="E27" s="2" t="s">
        <v>30</v>
      </c>
      <c r="F27" s="3" t="s">
        <v>19</v>
      </c>
    </row>
    <row r="28" customFormat="false" ht="15" hidden="false" customHeight="false" outlineLevel="0" collapsed="false">
      <c r="A28" s="3" t="s">
        <v>312</v>
      </c>
      <c r="B28" s="2" t="s">
        <v>313</v>
      </c>
      <c r="C28" s="6" t="s">
        <v>42</v>
      </c>
      <c r="D28" s="2" t="s">
        <v>315</v>
      </c>
      <c r="E28" s="2" t="s">
        <v>30</v>
      </c>
      <c r="F28" s="3" t="s">
        <v>19</v>
      </c>
    </row>
    <row r="29" customFormat="false" ht="15" hidden="false" customHeight="false" outlineLevel="0" collapsed="false">
      <c r="A29" s="3" t="s">
        <v>103</v>
      </c>
      <c r="B29" s="2" t="s">
        <v>104</v>
      </c>
      <c r="C29" s="4" t="s">
        <v>15</v>
      </c>
      <c r="D29" s="2" t="s">
        <v>107</v>
      </c>
      <c r="E29" s="2" t="s">
        <v>17</v>
      </c>
      <c r="F29" s="3" t="s">
        <v>50</v>
      </c>
    </row>
    <row r="30" customFormat="false" ht="23.85" hidden="false" customHeight="false" outlineLevel="0" collapsed="false">
      <c r="A30" s="3" t="s">
        <v>113</v>
      </c>
      <c r="B30" s="2" t="s">
        <v>114</v>
      </c>
      <c r="C30" s="6" t="s">
        <v>42</v>
      </c>
      <c r="D30" s="2" t="s">
        <v>116</v>
      </c>
      <c r="E30" s="2" t="s">
        <v>17</v>
      </c>
      <c r="F30" s="3" t="s">
        <v>50</v>
      </c>
    </row>
    <row r="31" customFormat="false" ht="15" hidden="false" customHeight="false" outlineLevel="0" collapsed="false">
      <c r="A31" s="3" t="s">
        <v>122</v>
      </c>
      <c r="B31" s="2" t="s">
        <v>123</v>
      </c>
      <c r="C31" s="7" t="s">
        <v>48</v>
      </c>
      <c r="D31" s="2" t="s">
        <v>125</v>
      </c>
      <c r="E31" s="2" t="s">
        <v>17</v>
      </c>
      <c r="F31" s="3" t="s">
        <v>50</v>
      </c>
    </row>
    <row r="32" customFormat="false" ht="15" hidden="false" customHeight="false" outlineLevel="0" collapsed="false">
      <c r="A32" s="3" t="s">
        <v>126</v>
      </c>
      <c r="B32" s="2" t="s">
        <v>127</v>
      </c>
      <c r="C32" s="4" t="s">
        <v>15</v>
      </c>
      <c r="D32" s="2" t="s">
        <v>130</v>
      </c>
      <c r="E32" s="2" t="s">
        <v>30</v>
      </c>
      <c r="F32" s="3" t="s">
        <v>50</v>
      </c>
    </row>
    <row r="33" customFormat="false" ht="15" hidden="false" customHeight="false" outlineLevel="0" collapsed="false">
      <c r="A33" s="3" t="s">
        <v>168</v>
      </c>
      <c r="B33" s="2" t="s">
        <v>169</v>
      </c>
      <c r="C33" s="7" t="s">
        <v>48</v>
      </c>
      <c r="D33" s="2" t="s">
        <v>171</v>
      </c>
      <c r="E33" s="2" t="s">
        <v>17</v>
      </c>
      <c r="F33" s="3" t="s">
        <v>50</v>
      </c>
    </row>
    <row r="34" customFormat="false" ht="15" hidden="false" customHeight="false" outlineLevel="0" collapsed="false">
      <c r="A34" s="3" t="s">
        <v>172</v>
      </c>
      <c r="B34" s="2" t="s">
        <v>173</v>
      </c>
      <c r="C34" s="5" t="s">
        <v>23</v>
      </c>
      <c r="D34" s="2" t="s">
        <v>176</v>
      </c>
      <c r="E34" s="2" t="s">
        <v>30</v>
      </c>
      <c r="F34" s="3" t="s">
        <v>50</v>
      </c>
    </row>
    <row r="35" customFormat="false" ht="15" hidden="false" customHeight="false" outlineLevel="0" collapsed="false">
      <c r="A35" s="3" t="s">
        <v>45</v>
      </c>
      <c r="B35" s="2" t="s">
        <v>46</v>
      </c>
      <c r="C35" s="7" t="s">
        <v>48</v>
      </c>
      <c r="D35" s="2" t="s">
        <v>49</v>
      </c>
      <c r="E35" s="2" t="s">
        <v>17</v>
      </c>
      <c r="F35" s="3" t="s">
        <v>50</v>
      </c>
    </row>
    <row r="36" customFormat="false" ht="15" hidden="false" customHeight="false" outlineLevel="0" collapsed="false">
      <c r="A36" s="3" t="s">
        <v>320</v>
      </c>
      <c r="B36" s="2" t="s">
        <v>321</v>
      </c>
      <c r="C36" s="4" t="s">
        <v>15</v>
      </c>
      <c r="D36" s="2" t="s">
        <v>324</v>
      </c>
      <c r="E36" s="2" t="s">
        <v>30</v>
      </c>
      <c r="F36" s="3" t="s">
        <v>50</v>
      </c>
    </row>
    <row r="37" customFormat="false" ht="15" hidden="false" customHeight="false" outlineLevel="0" collapsed="false">
      <c r="A37" s="3" t="s">
        <v>329</v>
      </c>
      <c r="B37" s="2" t="s">
        <v>330</v>
      </c>
      <c r="C37" s="4" t="s">
        <v>15</v>
      </c>
      <c r="D37" s="2" t="s">
        <v>333</v>
      </c>
      <c r="E37" s="2" t="s">
        <v>30</v>
      </c>
      <c r="F37" s="3" t="s">
        <v>50</v>
      </c>
    </row>
    <row r="38" customFormat="false" ht="15" hidden="false" customHeight="false" outlineLevel="0" collapsed="false">
      <c r="A38" s="3" t="s">
        <v>287</v>
      </c>
      <c r="B38" s="2" t="s">
        <v>288</v>
      </c>
      <c r="C38" s="4" t="s">
        <v>15</v>
      </c>
      <c r="D38" s="2" t="s">
        <v>291</v>
      </c>
      <c r="E38" s="2" t="s">
        <v>30</v>
      </c>
      <c r="F38" s="3" t="s">
        <v>50</v>
      </c>
    </row>
    <row r="39" customFormat="false" ht="15" hidden="false" customHeight="false" outlineLevel="0" collapsed="false">
      <c r="A39" s="3" t="s">
        <v>376</v>
      </c>
      <c r="B39" s="2" t="s">
        <v>377</v>
      </c>
      <c r="C39" s="4" t="s">
        <v>15</v>
      </c>
      <c r="D39" s="2" t="s">
        <v>380</v>
      </c>
      <c r="E39" s="2" t="s">
        <v>30</v>
      </c>
      <c r="F39" s="3" t="s">
        <v>50</v>
      </c>
    </row>
    <row r="40" customFormat="false" ht="15" hidden="false" customHeight="false" outlineLevel="0" collapsed="false">
      <c r="A40" s="3" t="s">
        <v>381</v>
      </c>
      <c r="B40" s="2" t="s">
        <v>382</v>
      </c>
      <c r="C40" s="4" t="s">
        <v>15</v>
      </c>
      <c r="D40" s="2" t="s">
        <v>385</v>
      </c>
      <c r="E40" s="2" t="s">
        <v>30</v>
      </c>
      <c r="F40" s="3" t="s">
        <v>50</v>
      </c>
    </row>
    <row r="41" customFormat="false" ht="15" hidden="false" customHeight="false" outlineLevel="0" collapsed="false">
      <c r="A41" s="3" t="s">
        <v>390</v>
      </c>
      <c r="B41" s="2" t="s">
        <v>391</v>
      </c>
      <c r="C41" s="4" t="s">
        <v>15</v>
      </c>
      <c r="D41" s="2" t="s">
        <v>394</v>
      </c>
      <c r="E41" s="2" t="s">
        <v>30</v>
      </c>
      <c r="F41" s="3" t="s">
        <v>50</v>
      </c>
    </row>
    <row r="42" customFormat="false" ht="15" hidden="false" customHeight="false" outlineLevel="0" collapsed="false">
      <c r="A42" s="3" t="s">
        <v>422</v>
      </c>
      <c r="B42" s="2" t="s">
        <v>423</v>
      </c>
      <c r="C42" s="4" t="s">
        <v>15</v>
      </c>
      <c r="D42" s="2" t="s">
        <v>394</v>
      </c>
      <c r="E42" s="2" t="s">
        <v>30</v>
      </c>
      <c r="F42" s="3" t="s">
        <v>50</v>
      </c>
    </row>
    <row r="43" customFormat="false" ht="15" hidden="false" customHeight="false" outlineLevel="0" collapsed="false">
      <c r="A43" s="3" t="s">
        <v>296</v>
      </c>
      <c r="B43" s="2" t="s">
        <v>297</v>
      </c>
      <c r="C43" s="4" t="s">
        <v>15</v>
      </c>
      <c r="D43" s="2" t="s">
        <v>300</v>
      </c>
      <c r="E43" s="2" t="s">
        <v>30</v>
      </c>
      <c r="F43" s="3" t="s">
        <v>50</v>
      </c>
    </row>
    <row r="44" customFormat="false" ht="15" hidden="false" customHeight="false" outlineLevel="0" collapsed="false">
      <c r="A44" s="3" t="s">
        <v>141</v>
      </c>
      <c r="B44" s="2" t="s">
        <v>142</v>
      </c>
      <c r="C44" s="4" t="s">
        <v>15</v>
      </c>
      <c r="D44" s="2" t="s">
        <v>144</v>
      </c>
      <c r="E44" s="2" t="s">
        <v>17</v>
      </c>
      <c r="F44" s="3" t="s">
        <v>145</v>
      </c>
    </row>
    <row r="45" customFormat="false" ht="15" hidden="false" customHeight="false" outlineLevel="0" collapsed="false">
      <c r="A45" s="3" t="s">
        <v>182</v>
      </c>
      <c r="B45" s="2" t="s">
        <v>183</v>
      </c>
      <c r="C45" s="6" t="s">
        <v>42</v>
      </c>
      <c r="D45" s="2" t="s">
        <v>186</v>
      </c>
      <c r="E45" s="2" t="s">
        <v>17</v>
      </c>
      <c r="F45" s="3" t="s">
        <v>145</v>
      </c>
    </row>
    <row r="46" customFormat="false" ht="15" hidden="false" customHeight="false" outlineLevel="0" collapsed="false">
      <c r="A46" s="3" t="s">
        <v>187</v>
      </c>
      <c r="B46" s="2" t="s">
        <v>188</v>
      </c>
      <c r="C46" s="4" t="s">
        <v>15</v>
      </c>
      <c r="D46" s="2" t="s">
        <v>190</v>
      </c>
      <c r="E46" s="2" t="s">
        <v>17</v>
      </c>
      <c r="F46" s="3" t="s">
        <v>145</v>
      </c>
    </row>
    <row r="47" customFormat="false" ht="15" hidden="false" customHeight="false" outlineLevel="0" collapsed="false">
      <c r="A47" s="3" t="s">
        <v>229</v>
      </c>
      <c r="B47" s="2" t="s">
        <v>230</v>
      </c>
      <c r="C47" s="8" t="s">
        <v>73</v>
      </c>
      <c r="D47" s="2" t="s">
        <v>233</v>
      </c>
      <c r="E47" s="2" t="s">
        <v>232</v>
      </c>
      <c r="F47" s="3" t="s">
        <v>145</v>
      </c>
    </row>
    <row r="48" customFormat="false" ht="15" hidden="false" customHeight="false" outlineLevel="0" collapsed="false">
      <c r="A48" s="3" t="s">
        <v>264</v>
      </c>
      <c r="B48" s="2" t="s">
        <v>265</v>
      </c>
      <c r="C48" s="4" t="s">
        <v>15</v>
      </c>
      <c r="D48" s="2" t="s">
        <v>267</v>
      </c>
      <c r="E48" s="2" t="s">
        <v>232</v>
      </c>
      <c r="F48" s="3" t="s">
        <v>145</v>
      </c>
    </row>
    <row r="49" customFormat="false" ht="15" hidden="false" customHeight="false" outlineLevel="0" collapsed="false">
      <c r="A49" s="3" t="s">
        <v>268</v>
      </c>
      <c r="B49" s="2" t="s">
        <v>269</v>
      </c>
      <c r="C49" s="8" t="s">
        <v>73</v>
      </c>
      <c r="D49" s="2" t="s">
        <v>245</v>
      </c>
      <c r="E49" s="2" t="s">
        <v>232</v>
      </c>
      <c r="F49" s="3" t="s">
        <v>145</v>
      </c>
    </row>
    <row r="50" customFormat="false" ht="15" hidden="false" customHeight="false" outlineLevel="0" collapsed="false">
      <c r="A50" s="3" t="s">
        <v>271</v>
      </c>
      <c r="B50" s="2" t="s">
        <v>272</v>
      </c>
      <c r="C50" s="8" t="s">
        <v>73</v>
      </c>
      <c r="D50" s="2" t="s">
        <v>245</v>
      </c>
      <c r="E50" s="2" t="s">
        <v>232</v>
      </c>
      <c r="F50" s="3" t="s">
        <v>145</v>
      </c>
    </row>
    <row r="51" customFormat="false" ht="15" hidden="false" customHeight="false" outlineLevel="0" collapsed="false">
      <c r="A51" s="3" t="s">
        <v>277</v>
      </c>
      <c r="B51" s="2" t="s">
        <v>278</v>
      </c>
      <c r="C51" s="4" t="s">
        <v>15</v>
      </c>
      <c r="D51" s="2" t="s">
        <v>280</v>
      </c>
      <c r="E51" s="2" t="s">
        <v>232</v>
      </c>
      <c r="F51" s="3" t="s">
        <v>145</v>
      </c>
    </row>
    <row r="52" customFormat="false" ht="15" hidden="false" customHeight="false" outlineLevel="0" collapsed="false">
      <c r="A52" s="3" t="s">
        <v>234</v>
      </c>
      <c r="B52" s="2" t="s">
        <v>235</v>
      </c>
      <c r="C52" s="8" t="s">
        <v>73</v>
      </c>
      <c r="D52" s="2" t="s">
        <v>237</v>
      </c>
      <c r="E52" s="2" t="s">
        <v>232</v>
      </c>
      <c r="F52" s="3" t="s">
        <v>145</v>
      </c>
    </row>
    <row r="53" customFormat="false" ht="15" hidden="false" customHeight="false" outlineLevel="0" collapsed="false">
      <c r="A53" s="3" t="s">
        <v>238</v>
      </c>
      <c r="B53" s="2" t="s">
        <v>239</v>
      </c>
      <c r="C53" s="8" t="s">
        <v>73</v>
      </c>
      <c r="D53" s="2" t="s">
        <v>241</v>
      </c>
      <c r="E53" s="2" t="s">
        <v>232</v>
      </c>
      <c r="F53" s="3" t="s">
        <v>145</v>
      </c>
    </row>
    <row r="54" customFormat="false" ht="15" hidden="false" customHeight="false" outlineLevel="0" collapsed="false">
      <c r="A54" s="3" t="s">
        <v>242</v>
      </c>
      <c r="B54" s="2" t="s">
        <v>243</v>
      </c>
      <c r="C54" s="8" t="s">
        <v>73</v>
      </c>
      <c r="D54" s="2" t="s">
        <v>245</v>
      </c>
      <c r="E54" s="2" t="s">
        <v>232</v>
      </c>
      <c r="F54" s="3" t="s">
        <v>145</v>
      </c>
    </row>
    <row r="55" customFormat="false" ht="15" hidden="false" customHeight="false" outlineLevel="0" collapsed="false">
      <c r="A55" s="3" t="s">
        <v>246</v>
      </c>
      <c r="B55" s="2" t="s">
        <v>247</v>
      </c>
      <c r="C55" s="8" t="s">
        <v>73</v>
      </c>
      <c r="D55" s="2" t="s">
        <v>245</v>
      </c>
      <c r="E55" s="2" t="s">
        <v>232</v>
      </c>
      <c r="F55" s="3" t="s">
        <v>145</v>
      </c>
    </row>
    <row r="56" customFormat="false" ht="15" hidden="false" customHeight="false" outlineLevel="0" collapsed="false">
      <c r="A56" s="3" t="s">
        <v>249</v>
      </c>
      <c r="B56" s="2" t="s">
        <v>250</v>
      </c>
      <c r="C56" s="8" t="s">
        <v>73</v>
      </c>
      <c r="D56" s="2" t="s">
        <v>245</v>
      </c>
      <c r="E56" s="2" t="s">
        <v>232</v>
      </c>
      <c r="F56" s="3" t="s">
        <v>145</v>
      </c>
    </row>
    <row r="57" customFormat="false" ht="15" hidden="false" customHeight="false" outlineLevel="0" collapsed="false">
      <c r="A57" s="3" t="s">
        <v>256</v>
      </c>
      <c r="B57" s="2" t="s">
        <v>257</v>
      </c>
      <c r="C57" s="8" t="s">
        <v>73</v>
      </c>
      <c r="D57" s="2" t="s">
        <v>237</v>
      </c>
      <c r="E57" s="2" t="s">
        <v>232</v>
      </c>
      <c r="F57" s="3" t="s">
        <v>145</v>
      </c>
    </row>
    <row r="58" customFormat="false" ht="15" hidden="false" customHeight="false" outlineLevel="0" collapsed="false">
      <c r="A58" s="3" t="s">
        <v>259</v>
      </c>
      <c r="B58" s="2" t="s">
        <v>260</v>
      </c>
      <c r="C58" s="4" t="s">
        <v>15</v>
      </c>
      <c r="D58" s="2" t="s">
        <v>263</v>
      </c>
      <c r="E58" s="2" t="s">
        <v>30</v>
      </c>
      <c r="F58" s="3" t="s">
        <v>145</v>
      </c>
    </row>
    <row r="59" customFormat="false" ht="15" hidden="false" customHeight="false" outlineLevel="0" collapsed="false">
      <c r="A59" s="3" t="s">
        <v>282</v>
      </c>
      <c r="B59" s="2" t="s">
        <v>283</v>
      </c>
      <c r="C59" s="4" t="s">
        <v>15</v>
      </c>
      <c r="D59" s="2" t="s">
        <v>286</v>
      </c>
      <c r="E59" s="2" t="s">
        <v>30</v>
      </c>
      <c r="F59" s="3" t="s">
        <v>145</v>
      </c>
    </row>
    <row r="60" customFormat="false" ht="15" hidden="false" customHeight="false" outlineLevel="0" collapsed="false">
      <c r="A60" s="3" t="s">
        <v>33</v>
      </c>
      <c r="B60" s="2" t="s">
        <v>34</v>
      </c>
      <c r="C60" s="4" t="s">
        <v>15</v>
      </c>
      <c r="D60" s="2" t="s">
        <v>37</v>
      </c>
      <c r="E60" s="2" t="s">
        <v>17</v>
      </c>
      <c r="F60" s="3" t="s">
        <v>38</v>
      </c>
    </row>
    <row r="61" customFormat="false" ht="15" hidden="false" customHeight="false" outlineLevel="0" collapsed="false">
      <c r="A61" s="3" t="s">
        <v>403</v>
      </c>
      <c r="B61" s="2" t="s">
        <v>404</v>
      </c>
      <c r="C61" s="4" t="s">
        <v>15</v>
      </c>
      <c r="D61" s="2" t="s">
        <v>407</v>
      </c>
      <c r="E61" s="2" t="s">
        <v>30</v>
      </c>
      <c r="F61" s="3" t="s">
        <v>408</v>
      </c>
    </row>
  </sheetData>
  <autoFilter ref="A1:F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2026-06-20T22:12:50Z</dcterms:created>
  <dc:creator>openpyxl</dc:creator>
  <dc:description/>
  <dc:language>en-US</dc:language>
  <cp:lastModifiedBy/>
  <dcterms:modified xsi:type="dcterms:W3CDTF">2026-06-20T22:12:50Z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