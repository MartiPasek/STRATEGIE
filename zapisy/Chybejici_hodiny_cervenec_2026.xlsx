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ybějící hodin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<sst xmlns="http://schemas.openxmlformats.org/spreadsheetml/2006/main" count="39" uniqueCount="27">
  <si>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 xml:space="preserve">Chybějící hodiny proti fondu – červenec 2026</t>
  </si>
  <si>
    <t xml:space="preserve">Počítáno JEN za dny, které měl člověk v Centrále a ještě ne v aplikaci. Fond = počet těchto pracovních dnů × (úvazek ÷ 5).</t>
  </si>
  <si>
    <t xml:space="preserve">Zdroj: EC_Dochazka_SumaDen (Centrála) + tenant.engagement (úvazek). Ověřeno 28. 7. 2026.</t>
  </si>
  <si>
    <t xml:space="preserve">Os. č.</t>
  </si>
  <si>
    <t xml:space="preserve">Jméno</t>
  </si>
  <si>
    <t xml:space="preserve">Úvazek/týden</t>
  </si>
  <si>
    <t xml:space="preserve">Hodin/den</t>
  </si>
  <si>
    <t xml:space="preserve">Dnů</t>
  </si>
  <si>
    <t xml:space="preserve">Od</t>
  </si>
  <si>
    <t xml:space="preserve">Do</t>
  </si>
  <si>
    <t xml:space="preserve">Fond (h)</t>
  </si>
  <si>
    <t xml:space="preserve">Započteno (h)</t>
  </si>
  <si>
    <t xml:space="preserve">Chybí (h)</t>
  </si>
  <si>
    <t xml:space="preserve">Vladimír Navrátil</t>
  </si>
  <si>
    <t xml:space="preserve">01.07.</t>
  </si>
  <si>
    <t xml:space="preserve">21.07.</t>
  </si>
  <si>
    <t xml:space="preserve">Petr Čiviš</t>
  </si>
  <si>
    <t xml:space="preserve">Martin Valenta</t>
  </si>
  <si>
    <t xml:space="preserve">22.07.</t>
  </si>
  <si>
    <t xml:space="preserve">Luboš Erhard</t>
  </si>
  <si>
    <t xml:space="preserve">Michal Jirkovský</t>
  </si>
  <si>
    <t xml:space="preserve">Lucie Jakešová</t>
  </si>
  <si>
    <t xml:space="preserve">Jakub Pěchouček</t>
  </si>
  <si>
    <t xml:space="preserve">Martin Porner</t>
  </si>
  <si>
    <t xml:space="preserve">03.07.</t>
  </si>
  <si>
    <t xml:space="preserve">Celkem</t>
  </si>
  <si>
    <t xml:space="preserve">Pozn.: Petra Dvořáková (os. č. 49) vyřazena na žádost zadavatele.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</si>
</sst>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636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4506F"/>
      </bottom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medium">
        <color rgb="FF34506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506F"/>
      <rgbColor rgb="FF1C2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n">
        <v>472</v>
      </c>
      <c r="B6" s="6" t="s">
        <v>13</v>
      </c>
      <c r="C6" s="7" t="n">
        <v>40</v>
      </c>
      <c r="D6" s="7" t="n">
        <f aca="false">C6/5</f>
        <v>8</v>
      </c>
      <c r="E6" s="5" t="n">
        <v>14</v>
      </c>
      <c r="F6" s="5" t="s">
        <v>14</v>
      </c>
      <c r="G6" s="5" t="s">
        <v>15</v>
      </c>
      <c r="H6" s="7" t="n">
        <f aca="false">E6*D6</f>
        <v>112</v>
      </c>
      <c r="I6" s="7" t="n">
        <v>108.3</v>
      </c>
      <c r="J6" s="8" t="n">
        <f aca="false">I6-H6</f>
        <v>-3.7</v>
      </c>
    </row>
    <row r="7" customFormat="false" ht="15" hidden="false" customHeight="false" outlineLevel="0" collapsed="false">
      <c r="A7" s="5" t="n">
        <v>522</v>
      </c>
      <c r="B7" s="6" t="s">
        <v>16</v>
      </c>
      <c r="C7" s="7" t="n">
        <v>40</v>
      </c>
      <c r="D7" s="7" t="n">
        <f aca="false">C7/5</f>
        <v>8</v>
      </c>
      <c r="E7" s="5" t="n">
        <v>9</v>
      </c>
      <c r="F7" s="5" t="s">
        <v>14</v>
      </c>
      <c r="G7" s="5" t="s">
        <v>15</v>
      </c>
      <c r="H7" s="7" t="n">
        <f aca="false">E7*D7</f>
        <v>72</v>
      </c>
      <c r="I7" s="7" t="n">
        <v>68.9</v>
      </c>
      <c r="J7" s="8" t="n">
        <f aca="false">I7-H7</f>
        <v>-3.09999999999999</v>
      </c>
    </row>
    <row r="8" customFormat="false" ht="15" hidden="false" customHeight="false" outlineLevel="0" collapsed="false">
      <c r="A8" s="5" t="n">
        <v>517</v>
      </c>
      <c r="B8" s="6" t="s">
        <v>17</v>
      </c>
      <c r="C8" s="7" t="n">
        <v>40</v>
      </c>
      <c r="D8" s="7" t="n">
        <f aca="false">C8/5</f>
        <v>8</v>
      </c>
      <c r="E8" s="5" t="n">
        <v>10</v>
      </c>
      <c r="F8" s="5" t="s">
        <v>14</v>
      </c>
      <c r="G8" s="5" t="s">
        <v>18</v>
      </c>
      <c r="H8" s="7" t="n">
        <f aca="false">E8*D8</f>
        <v>80</v>
      </c>
      <c r="I8" s="7" t="n">
        <v>77</v>
      </c>
      <c r="J8" s="8" t="n">
        <f aca="false">I8-H8</f>
        <v>-3</v>
      </c>
    </row>
    <row r="9" customFormat="false" ht="15" hidden="false" customHeight="false" outlineLevel="0" collapsed="false">
      <c r="A9" s="5" t="n">
        <v>372</v>
      </c>
      <c r="B9" s="6" t="s">
        <v>19</v>
      </c>
      <c r="C9" s="7" t="n">
        <v>40</v>
      </c>
      <c r="D9" s="7" t="n">
        <f aca="false">C9/5</f>
        <v>8</v>
      </c>
      <c r="E9" s="5" t="n">
        <v>14</v>
      </c>
      <c r="F9" s="5" t="s">
        <v>14</v>
      </c>
      <c r="G9" s="5" t="s">
        <v>18</v>
      </c>
      <c r="H9" s="7" t="n">
        <f aca="false">E9*D9</f>
        <v>112</v>
      </c>
      <c r="I9" s="7" t="n">
        <v>110</v>
      </c>
      <c r="J9" s="8" t="n">
        <f aca="false">I9-H9</f>
        <v>-2</v>
      </c>
    </row>
    <row r="10" customFormat="false" ht="15" hidden="false" customHeight="false" outlineLevel="0" collapsed="false">
      <c r="A10" s="5" t="n">
        <v>486</v>
      </c>
      <c r="B10" s="6" t="s">
        <v>20</v>
      </c>
      <c r="C10" s="7" t="n">
        <v>40</v>
      </c>
      <c r="D10" s="7" t="n">
        <f aca="false">C10/5</f>
        <v>8</v>
      </c>
      <c r="E10" s="5" t="n">
        <v>13</v>
      </c>
      <c r="F10" s="5" t="s">
        <v>14</v>
      </c>
      <c r="G10" s="5" t="s">
        <v>18</v>
      </c>
      <c r="H10" s="7" t="n">
        <f aca="false">E10*D10</f>
        <v>104</v>
      </c>
      <c r="I10" s="7" t="n">
        <v>102.1</v>
      </c>
      <c r="J10" s="8" t="n">
        <f aca="false">I10-H10</f>
        <v>-1.90000000000001</v>
      </c>
    </row>
    <row r="11" customFormat="false" ht="15" hidden="false" customHeight="false" outlineLevel="0" collapsed="false">
      <c r="A11" s="5" t="n">
        <v>493</v>
      </c>
      <c r="B11" s="6" t="s">
        <v>21</v>
      </c>
      <c r="C11" s="7" t="n">
        <v>40</v>
      </c>
      <c r="D11" s="7" t="n">
        <f aca="false">C11/5</f>
        <v>8</v>
      </c>
      <c r="E11" s="5" t="n">
        <v>12</v>
      </c>
      <c r="F11" s="5" t="s">
        <v>14</v>
      </c>
      <c r="G11" s="5" t="s">
        <v>15</v>
      </c>
      <c r="H11" s="7" t="n">
        <f aca="false">E11*D11</f>
        <v>96</v>
      </c>
      <c r="I11" s="7" t="n">
        <v>94.9</v>
      </c>
      <c r="J11" s="8" t="n">
        <f aca="false">I11-H11</f>
        <v>-1.09999999999999</v>
      </c>
    </row>
    <row r="12" customFormat="false" ht="15" hidden="false" customHeight="false" outlineLevel="0" collapsed="false">
      <c r="A12" s="5" t="n">
        <v>502</v>
      </c>
      <c r="B12" s="6" t="s">
        <v>22</v>
      </c>
      <c r="C12" s="7" t="n">
        <v>40</v>
      </c>
      <c r="D12" s="7" t="n">
        <f aca="false">C12/5</f>
        <v>8</v>
      </c>
      <c r="E12" s="5" t="n">
        <v>12</v>
      </c>
      <c r="F12" s="5" t="s">
        <v>14</v>
      </c>
      <c r="G12" s="5" t="s">
        <v>15</v>
      </c>
      <c r="H12" s="7" t="n">
        <f aca="false">E12*D12</f>
        <v>96</v>
      </c>
      <c r="I12" s="7" t="n">
        <v>95.8</v>
      </c>
      <c r="J12" s="8" t="n">
        <f aca="false">I12-H12</f>
        <v>-0.200000000000003</v>
      </c>
    </row>
    <row r="13" customFormat="false" ht="15" hidden="false" customHeight="false" outlineLevel="0" collapsed="false">
      <c r="A13" s="5" t="n">
        <v>533</v>
      </c>
      <c r="B13" s="6" t="s">
        <v>23</v>
      </c>
      <c r="C13" s="7" t="n">
        <v>40</v>
      </c>
      <c r="D13" s="7" t="n">
        <f aca="false">C13/5</f>
        <v>8</v>
      </c>
      <c r="E13" s="5" t="n">
        <v>6</v>
      </c>
      <c r="F13" s="5" t="s">
        <v>24</v>
      </c>
      <c r="G13" s="5" t="s">
        <v>18</v>
      </c>
      <c r="H13" s="7" t="n">
        <f aca="false">E13*D13</f>
        <v>48</v>
      </c>
      <c r="I13" s="7" t="n">
        <v>47.9</v>
      </c>
      <c r="J13" s="8" t="n">
        <f aca="false">I13-H13</f>
        <v>-0.100000000000001</v>
      </c>
    </row>
    <row r="14" customFormat="false" ht="15" hidden="false" customHeight="false" outlineLevel="0" collapsed="false">
      <c r="A14" s="9"/>
      <c r="B14" s="9" t="s">
        <v>25</v>
      </c>
      <c r="C14" s="9"/>
      <c r="D14" s="9"/>
      <c r="E14" s="9"/>
      <c r="F14" s="9"/>
      <c r="G14" s="9"/>
      <c r="H14" s="10" t="n">
        <f aca="false">SUM(H6:H13)</f>
        <v>720</v>
      </c>
      <c r="I14" s="10" t="n">
        <f aca="false">SUM(I6:I13)</f>
        <v>704.9</v>
      </c>
      <c r="J14" s="10" t="n">
        <f aca="false">SUM(J6:J13)</f>
        <v>-15.1</v>
      </c>
    </row>
    <row r="16" customFormat="false" ht="15" hidden="false" customHeight="false" outlineLevel="0" collapsed="false">
      <c r="A16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2026-07-28T10:18:56Z</dcterms:created>
  <dc:creator>openpyxl</dc:creator>
  <dc:description/>
  <dc:language>en-US</dc:language>
  <cp:lastModifiedBy/>
  <dcterms:modified xsi:type="dcterms:W3CDTF">2026-07-28T10:18:56Z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